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D3041DD4-5789-47E6-8F80-3125EACAD47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2" sheetId="3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7" i="3" l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D25" i="3" l="1"/>
  <c r="D16" i="3"/>
  <c r="C23" i="3"/>
  <c r="D24" i="3"/>
  <c r="C27" i="3"/>
  <c r="C8" i="3"/>
  <c r="C10" i="3"/>
  <c r="C12" i="3"/>
  <c r="B21" i="3"/>
  <c r="C22" i="3"/>
  <c r="D23" i="3"/>
  <c r="C26" i="3"/>
  <c r="D27" i="3"/>
  <c r="C30" i="3"/>
  <c r="C32" i="3"/>
  <c r="C7" i="3"/>
  <c r="D8" i="3"/>
  <c r="D10" i="3"/>
  <c r="D12" i="3"/>
  <c r="C20" i="3"/>
  <c r="C21" i="3"/>
  <c r="D22" i="3"/>
  <c r="C25" i="3"/>
  <c r="D26" i="3"/>
  <c r="D30" i="3"/>
  <c r="D32" i="3"/>
  <c r="D7" i="3"/>
  <c r="C16" i="3"/>
  <c r="D20" i="3"/>
  <c r="D21" i="3"/>
  <c r="C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B1E0E062-BF3B-4B77-984D-EDF47EEFE1D3}">
      <text>
        <r>
          <rPr>
            <sz val="10"/>
            <color rgb="FF000000"/>
            <rFont val="Times New Roman"/>
          </rPr>
          <t xml:space="preserve">QUANTIDADE DE DIAS
2ª PARCELA
</t>
        </r>
      </text>
    </comment>
  </commentList>
</comments>
</file>

<file path=xl/sharedStrings.xml><?xml version="1.0" encoding="utf-8"?>
<sst xmlns="http://schemas.openxmlformats.org/spreadsheetml/2006/main" count="70" uniqueCount="33">
  <si>
    <t>BPMA</t>
  </si>
  <si>
    <t xml:space="preserve">MAT </t>
  </si>
  <si>
    <t>GRAD</t>
  </si>
  <si>
    <t>UPM</t>
  </si>
  <si>
    <t>REF</t>
  </si>
  <si>
    <t>ANO</t>
  </si>
  <si>
    <t>D</t>
  </si>
  <si>
    <t>INICIO</t>
  </si>
  <si>
    <t>TÉRMINO</t>
  </si>
  <si>
    <t xml:space="preserve">JANEIRO </t>
  </si>
  <si>
    <t>2º SGT</t>
  </si>
  <si>
    <t>AUCEMI DA SILVA LIMA</t>
  </si>
  <si>
    <t>CB</t>
  </si>
  <si>
    <t>RAFAEL FERNANDES PAZ</t>
  </si>
  <si>
    <t>RENAN DE MELLO SANTOS SPAVIER</t>
  </si>
  <si>
    <t xml:space="preserve">2º SGT </t>
  </si>
  <si>
    <t>SD</t>
  </si>
  <si>
    <t>LEANDRO RODRIGUES DE CASTRO</t>
  </si>
  <si>
    <t>1º SGT</t>
  </si>
  <si>
    <t>CASSIO BARBOSA NASCIMENTO</t>
  </si>
  <si>
    <t>LEONARDO DE SALLES</t>
  </si>
  <si>
    <t xml:space="preserve">3º SGT </t>
  </si>
  <si>
    <t>FABIO GONZAGA DE BRITO</t>
  </si>
  <si>
    <t>MAICON BARROZO DO NASCIMENTO</t>
  </si>
  <si>
    <t>ELVIS ROBERTO DA CONCEIÇÃO SOARES</t>
  </si>
  <si>
    <t>RAUL ERNESTO MEIRA MAGALHAES</t>
  </si>
  <si>
    <t>FLÁVIO PEREIRA MACEDO</t>
  </si>
  <si>
    <t>ANA PAULA ALVES RIBEIRO</t>
  </si>
  <si>
    <t>FELIPE NUNES SOARES</t>
  </si>
  <si>
    <t>LUCAS DE SOUSA SENA</t>
  </si>
  <si>
    <t xml:space="preserve">JOAO GUSMAO MELITO
</t>
  </si>
  <si>
    <t>ANOS ANTERIORES</t>
  </si>
  <si>
    <r>
      <rPr>
        <b/>
        <sz val="10"/>
        <rFont val="Times New Roman"/>
      </rPr>
      <t>NOME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</si>
</sst>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"/>
    <numFmt numFmtId="165" formatCode="dd/mm"/>
  </numFmts>
  <fonts count="12" x14ac:knownFonts="1">
    <font>
      <sz val="10"/>
      <name val="Arial"/>
      <family val="2"/>
    </font>
    <font>
      <b/>
      <sz val="10"/>
      <name val="Times New Roman"/>
    </font>
    <font>
      <b/>
      <sz val="8"/>
      <color rgb="FF000000"/>
      <name val="Times New Roman"/>
    </font>
    <font>
      <b/>
      <sz val="10"/>
      <color rgb="FFFFFFFF"/>
      <name val="Times New Roman"/>
    </font>
    <font>
      <b/>
      <sz val="6"/>
      <color rgb="FF000000"/>
      <name val="Times New Roman"/>
    </font>
    <font>
      <b/>
      <sz val="9"/>
      <color rgb="FFFFFFFF"/>
      <name val="Times New Roman"/>
    </font>
    <font>
      <sz val="10"/>
      <color rgb="FFFFFFFF"/>
      <name val="Times New Roman"/>
    </font>
    <font>
      <sz val="9"/>
      <color rgb="FF000000"/>
      <name val="Times New Roman"/>
    </font>
    <font>
      <sz val="9"/>
      <name val="Times New Roman"/>
    </font>
    <font>
      <sz val="10"/>
      <name val="Times New Roman"/>
    </font>
    <font>
      <sz val="9"/>
      <color rgb="FFFFFFFF"/>
      <name val="Times New Roman"/>
    </font>
    <font>
      <sz val="10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0FFFF"/>
        <bgColor rgb="FF00FFFF"/>
      </patternFill>
    </fill>
    <fill>
      <patternFill patternType="solid">
        <fgColor rgb="FFCC4125"/>
        <bgColor rgb="FFCC41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top"/>
    </xf>
    <xf numFmtId="1" fontId="8" fillId="2" borderId="0" xfId="0" applyNumberFormat="1" applyFont="1" applyFill="1" applyAlignment="1">
      <alignment horizontal="center" vertical="top"/>
    </xf>
    <xf numFmtId="0" fontId="8" fillId="2" borderId="0" xfId="0" applyFont="1" applyFill="1" applyAlignment="1">
      <alignment horizontal="left" vertical="top"/>
    </xf>
    <xf numFmtId="1" fontId="8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left" vertical="top"/>
    </xf>
    <xf numFmtId="1" fontId="10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top"/>
    </xf>
    <xf numFmtId="164" fontId="6" fillId="3" borderId="0" xfId="0" applyNumberFormat="1" applyFont="1" applyFill="1" applyAlignment="1">
      <alignment horizontal="left" vertical="top"/>
    </xf>
    <xf numFmtId="1" fontId="7" fillId="4" borderId="0" xfId="0" applyNumberFormat="1" applyFont="1" applyFill="1" applyAlignment="1">
      <alignment horizontal="right" vertical="top"/>
    </xf>
    <xf numFmtId="165" fontId="9" fillId="2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center"/>
    </xf>
    <xf numFmtId="1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1" fontId="8" fillId="4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p\Downloads\AFASTAMENTOS%20BPMA%20%5b2026%5d.xlsx" TargetMode="External"/><Relationship Id="rId1" Type="http://schemas.openxmlformats.org/officeDocument/2006/relationships/externalLinkPath" Target="AFASTAMENTOS%20BPMA%20%5b2026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| FÉRIAS 2026 PRAÇAS"/>
      <sheetName val="JANEIRO 2026"/>
      <sheetName val="MANUAL"/>
      <sheetName val="FORMULAS"/>
      <sheetName val="03 | ABONO 2026"/>
      <sheetName val="01 | D. MÉDICA 2026"/>
      <sheetName val="CONTROLE DE DM"/>
      <sheetName val="04 | COVID 2021"/>
      <sheetName val="05 | RESTRIÇÃO"/>
      <sheetName val="06 | RESTRIÇÃO - 2025"/>
      <sheetName val="06 | PERIÓDICO  TAF"/>
      <sheetName val="CURSO 9mm BPMA"/>
      <sheetName val="07 | DISPENSASLICENÇAS"/>
      <sheetName val="RELATÓRIO DIÁRIO COVID 19"/>
      <sheetName val="01 | FICHA CADASTRAL"/>
      <sheetName val="09 | PUNIÇÕES"/>
      <sheetName val="OCULTAR"/>
      <sheetName val="ATRIBUIÇÕES"/>
      <sheetName val="RELAÇÃO DE CPF"/>
      <sheetName val="OF JUSTIÇA"/>
    </sheetNames>
    <sheetDataSet>
      <sheetData sheetId="0"/>
      <sheetData sheetId="1"/>
      <sheetData sheetId="2"/>
      <sheetData sheetId="3">
        <row r="2">
          <cell r="AM2" t="str">
            <v/>
          </cell>
        </row>
        <row r="4">
          <cell r="AM4" t="str">
            <v>MAT</v>
          </cell>
          <cell r="AN4" t="str">
            <v>UPM</v>
          </cell>
          <cell r="AO4" t="str">
            <v>GRAD</v>
          </cell>
          <cell r="AP4" t="str">
            <v>NOME DE GUERRA</v>
          </cell>
          <cell r="AQ4" t="str">
            <v>NOME COMPLETO</v>
          </cell>
        </row>
        <row r="6">
          <cell r="AM6">
            <v>1999176</v>
          </cell>
          <cell r="AN6" t="str">
            <v>BPMA</v>
          </cell>
          <cell r="AO6" t="str">
            <v>CB</v>
          </cell>
          <cell r="AP6" t="str">
            <v>LAGO</v>
          </cell>
          <cell r="AQ6" t="str">
            <v>FÁBIO FRANCISCO LAGO PEREIRA</v>
          </cell>
        </row>
        <row r="7">
          <cell r="AM7" t="str">
            <v>50498X</v>
          </cell>
          <cell r="AN7" t="str">
            <v>BPMA</v>
          </cell>
          <cell r="AO7" t="str">
            <v>TC</v>
          </cell>
          <cell r="AP7" t="str">
            <v>RAMALHO</v>
          </cell>
          <cell r="AQ7" t="str">
            <v>WALDECI RAMALHO</v>
          </cell>
        </row>
        <row r="8">
          <cell r="AM8">
            <v>505838</v>
          </cell>
          <cell r="AN8" t="str">
            <v>BPMA</v>
          </cell>
          <cell r="AO8" t="str">
            <v>MAJ</v>
          </cell>
          <cell r="AP8" t="str">
            <v>ADELINO</v>
          </cell>
          <cell r="AQ8" t="str">
            <v>ADELINO JOSE DE OLIVEIRA JUNIOR</v>
          </cell>
        </row>
        <row r="9">
          <cell r="AM9">
            <v>508578</v>
          </cell>
          <cell r="AN9" t="str">
            <v>BPMA</v>
          </cell>
          <cell r="AO9" t="str">
            <v>CAP</v>
          </cell>
          <cell r="AP9" t="str">
            <v>EMERSON ARAUJO</v>
          </cell>
          <cell r="AQ9" t="str">
            <v>EMERSON ROBERTO ARAÚJO MELÃO</v>
          </cell>
        </row>
        <row r="10">
          <cell r="AM10">
            <v>730289</v>
          </cell>
          <cell r="AN10" t="str">
            <v>BPMA</v>
          </cell>
          <cell r="AO10" t="str">
            <v>3º SGT</v>
          </cell>
          <cell r="AP10" t="str">
            <v>J. CARVALHO</v>
          </cell>
          <cell r="AQ10" t="str">
            <v>EVANIMAR JOSE CARVALHO</v>
          </cell>
        </row>
        <row r="11">
          <cell r="AM11">
            <v>864137</v>
          </cell>
          <cell r="AN11" t="str">
            <v>BPMA</v>
          </cell>
          <cell r="AO11" t="str">
            <v>CAP</v>
          </cell>
          <cell r="AP11" t="str">
            <v>CAIO</v>
          </cell>
          <cell r="AQ11" t="str">
            <v>CAIO HENRIQUE DA CONCEICAO ALMEIDA</v>
          </cell>
        </row>
        <row r="12">
          <cell r="AM12">
            <v>7305974</v>
          </cell>
          <cell r="AN12" t="str">
            <v>BPMA</v>
          </cell>
          <cell r="AO12" t="str">
            <v>CAP</v>
          </cell>
          <cell r="AP12" t="str">
            <v>FETTERMANN</v>
          </cell>
          <cell r="AQ12" t="str">
            <v>OSCAR CALCAGNO FETTERMANN</v>
          </cell>
        </row>
        <row r="13">
          <cell r="AM13">
            <v>189138</v>
          </cell>
          <cell r="AN13" t="str">
            <v>BPMA</v>
          </cell>
          <cell r="AO13" t="str">
            <v>ST</v>
          </cell>
          <cell r="AP13" t="str">
            <v>LUCIANO CUNHA</v>
          </cell>
          <cell r="AQ13" t="str">
            <v>LUCIANO CESAR BORGES DA CUNHA</v>
          </cell>
        </row>
        <row r="14">
          <cell r="AM14">
            <v>224707</v>
          </cell>
          <cell r="AN14" t="str">
            <v>BPMA</v>
          </cell>
          <cell r="AO14" t="str">
            <v>ST</v>
          </cell>
          <cell r="AP14" t="str">
            <v>LEANDRO JOSE</v>
          </cell>
          <cell r="AQ14" t="str">
            <v>LEANDRO JOSE DE LIMA</v>
          </cell>
        </row>
        <row r="15">
          <cell r="AM15">
            <v>239453</v>
          </cell>
          <cell r="AN15" t="str">
            <v>BPMA</v>
          </cell>
          <cell r="AO15" t="str">
            <v>ST</v>
          </cell>
          <cell r="AP15" t="str">
            <v>RODNEI</v>
          </cell>
          <cell r="AQ15" t="str">
            <v>RODNEI TAVARES BARBOSA</v>
          </cell>
        </row>
        <row r="16">
          <cell r="AM16">
            <v>204218</v>
          </cell>
          <cell r="AN16" t="str">
            <v>BPMA</v>
          </cell>
          <cell r="AO16" t="str">
            <v>ST</v>
          </cell>
          <cell r="AP16" t="str">
            <v>JASSE</v>
          </cell>
          <cell r="AQ16" t="str">
            <v>JASSE FERREIRA</v>
          </cell>
        </row>
        <row r="17">
          <cell r="AM17" t="str">
            <v>23527X</v>
          </cell>
          <cell r="AN17" t="str">
            <v>BPMA</v>
          </cell>
          <cell r="AO17" t="str">
            <v>ST</v>
          </cell>
          <cell r="AP17" t="str">
            <v>MARLOS</v>
          </cell>
          <cell r="AQ17" t="str">
            <v>MARLOS DE SOUZA VERAS</v>
          </cell>
        </row>
        <row r="18">
          <cell r="AM18">
            <v>213411</v>
          </cell>
          <cell r="AN18" t="str">
            <v>BPMA</v>
          </cell>
          <cell r="AO18" t="str">
            <v>ST</v>
          </cell>
          <cell r="AP18" t="str">
            <v>MARCOS JOSÉ</v>
          </cell>
          <cell r="AQ18" t="str">
            <v>MARCOS JOSÉ PEREIRA</v>
          </cell>
        </row>
        <row r="19">
          <cell r="AM19">
            <v>237221</v>
          </cell>
          <cell r="AN19" t="str">
            <v>BPMA</v>
          </cell>
          <cell r="AO19" t="str">
            <v>ST</v>
          </cell>
          <cell r="AP19" t="str">
            <v>LEAL</v>
          </cell>
          <cell r="AQ19" t="str">
            <v>LEONARDO MELO LEAL</v>
          </cell>
        </row>
        <row r="20">
          <cell r="AM20">
            <v>202282</v>
          </cell>
          <cell r="AN20" t="str">
            <v>BPMA</v>
          </cell>
          <cell r="AO20" t="str">
            <v>ST</v>
          </cell>
          <cell r="AP20" t="str">
            <v>BALBINO SILVA</v>
          </cell>
          <cell r="AQ20" t="str">
            <v>MARCOS BALBINO DA SILVA</v>
          </cell>
        </row>
        <row r="21">
          <cell r="AM21">
            <v>187003</v>
          </cell>
          <cell r="AN21" t="str">
            <v>BPMA</v>
          </cell>
          <cell r="AO21" t="str">
            <v>ST</v>
          </cell>
          <cell r="AP21" t="str">
            <v>ESPINDOLA MOURA</v>
          </cell>
          <cell r="AQ21" t="str">
            <v>VANDERLEI ESPINDOLA DE MOURA</v>
          </cell>
        </row>
        <row r="22">
          <cell r="AM22">
            <v>223700</v>
          </cell>
          <cell r="AN22" t="str">
            <v>BPMA</v>
          </cell>
          <cell r="AO22" t="str">
            <v>ST</v>
          </cell>
          <cell r="AP22" t="str">
            <v>A. BATISTA</v>
          </cell>
          <cell r="AQ22" t="str">
            <v>JOAO ANTONIO BATISTA</v>
          </cell>
        </row>
        <row r="23">
          <cell r="AM23">
            <v>213845</v>
          </cell>
          <cell r="AN23" t="str">
            <v>BPMA</v>
          </cell>
          <cell r="AO23" t="str">
            <v>ST</v>
          </cell>
          <cell r="AP23" t="str">
            <v>MENEZES</v>
          </cell>
          <cell r="AQ23" t="str">
            <v>ELIVALDO MORAES DE MENEZES</v>
          </cell>
        </row>
        <row r="24">
          <cell r="AM24">
            <v>214736</v>
          </cell>
          <cell r="AN24" t="str">
            <v>BPMA</v>
          </cell>
          <cell r="AO24" t="str">
            <v>ST</v>
          </cell>
          <cell r="AP24" t="str">
            <v>COITE</v>
          </cell>
          <cell r="AQ24" t="str">
            <v>DIRCEU PEREIRA COITE</v>
          </cell>
        </row>
        <row r="25">
          <cell r="AM25">
            <v>175412</v>
          </cell>
          <cell r="AN25" t="str">
            <v>BPMA</v>
          </cell>
          <cell r="AO25" t="str">
            <v>ST</v>
          </cell>
          <cell r="AP25" t="str">
            <v>WASHINGTON SOUSA</v>
          </cell>
          <cell r="AQ25" t="str">
            <v>FRANCISCO WASHINGTON DE MEDEIROS SOUSA</v>
          </cell>
        </row>
        <row r="26">
          <cell r="AM26">
            <v>199672</v>
          </cell>
          <cell r="AN26" t="str">
            <v>BPMA</v>
          </cell>
          <cell r="AO26" t="str">
            <v>ST</v>
          </cell>
          <cell r="AP26" t="str">
            <v>JALES</v>
          </cell>
          <cell r="AQ26" t="str">
            <v>ALEXANDRE FERNANDES JALES</v>
          </cell>
        </row>
        <row r="27">
          <cell r="AM27" t="str">
            <v>24337X</v>
          </cell>
          <cell r="AN27" t="str">
            <v>BPMA</v>
          </cell>
          <cell r="AO27" t="str">
            <v>1º SGT</v>
          </cell>
          <cell r="AP27" t="str">
            <v>IRINEU MARQUES</v>
          </cell>
          <cell r="AQ27" t="str">
            <v>IRINEU MARQUES DIAS</v>
          </cell>
        </row>
        <row r="28">
          <cell r="AM28">
            <v>236411</v>
          </cell>
          <cell r="AN28" t="str">
            <v>BPMA</v>
          </cell>
          <cell r="AO28" t="str">
            <v>1º SGT</v>
          </cell>
          <cell r="AP28" t="str">
            <v>VITORINO SOARES</v>
          </cell>
          <cell r="AQ28" t="str">
            <v>ISRAEL VITORINO SOARES VIEIRA</v>
          </cell>
        </row>
        <row r="29">
          <cell r="AM29">
            <v>237485</v>
          </cell>
          <cell r="AN29" t="str">
            <v>BPMA</v>
          </cell>
          <cell r="AO29" t="str">
            <v>1º SGT</v>
          </cell>
          <cell r="AP29" t="str">
            <v>LUICIANO</v>
          </cell>
          <cell r="AQ29" t="str">
            <v>LUICIANO LUIZ DE ANDRADE</v>
          </cell>
        </row>
        <row r="30">
          <cell r="AM30">
            <v>186171</v>
          </cell>
          <cell r="AN30" t="str">
            <v>BPMA</v>
          </cell>
          <cell r="AO30" t="str">
            <v>1º SGT</v>
          </cell>
          <cell r="AP30" t="str">
            <v>FRANCISVANDER</v>
          </cell>
          <cell r="AQ30" t="str">
            <v>FRANCISVANDER BENTO DE SOUZA</v>
          </cell>
        </row>
        <row r="31">
          <cell r="AM31">
            <v>184225</v>
          </cell>
          <cell r="AN31" t="str">
            <v>BPMA</v>
          </cell>
          <cell r="AO31" t="str">
            <v>1º SGT</v>
          </cell>
          <cell r="AP31" t="str">
            <v>ERNESTO GREGORIO</v>
          </cell>
          <cell r="AQ31" t="str">
            <v>ERNESTO GREGORIO DA SILVA FILHO</v>
          </cell>
        </row>
        <row r="32">
          <cell r="AM32">
            <v>189790</v>
          </cell>
          <cell r="AN32" t="str">
            <v>BPMA</v>
          </cell>
          <cell r="AO32" t="str">
            <v>1º SGT</v>
          </cell>
          <cell r="AP32" t="str">
            <v>ISAC MARCIO</v>
          </cell>
          <cell r="AQ32" t="str">
            <v>ISAC MARCIO DANTAS LONGUINHO</v>
          </cell>
        </row>
        <row r="33">
          <cell r="AM33">
            <v>193224</v>
          </cell>
          <cell r="AN33" t="str">
            <v>BPMA</v>
          </cell>
          <cell r="AO33" t="str">
            <v>1º SGT</v>
          </cell>
          <cell r="AP33" t="str">
            <v>AMADO SILVA</v>
          </cell>
          <cell r="AQ33" t="str">
            <v>EDSON AMADO DA SILVA</v>
          </cell>
        </row>
        <row r="34">
          <cell r="AM34">
            <v>197823</v>
          </cell>
          <cell r="AN34" t="str">
            <v>BPMA</v>
          </cell>
          <cell r="AO34" t="str">
            <v>1º SGT</v>
          </cell>
          <cell r="AP34" t="str">
            <v>FERNANDO ARAUJO</v>
          </cell>
          <cell r="AQ34" t="str">
            <v>FERNANDO ARAUJO DA SILVA</v>
          </cell>
        </row>
        <row r="35">
          <cell r="AM35" t="str">
            <v>20045X</v>
          </cell>
          <cell r="AN35" t="str">
            <v>BPMA</v>
          </cell>
          <cell r="AO35" t="str">
            <v>2º SGT</v>
          </cell>
          <cell r="AP35" t="str">
            <v>HENRIQUE BISPO</v>
          </cell>
          <cell r="AQ35" t="str">
            <v>JOSE HENRIQUE BISPO DE ALMEIDA</v>
          </cell>
        </row>
        <row r="36">
          <cell r="AM36">
            <v>202444</v>
          </cell>
          <cell r="AN36" t="str">
            <v>BPMA</v>
          </cell>
          <cell r="AO36" t="str">
            <v>2º SGT</v>
          </cell>
          <cell r="AP36" t="str">
            <v>L. CARLOS</v>
          </cell>
          <cell r="AQ36" t="str">
            <v>LUIZ CARLOS DA SILVA</v>
          </cell>
        </row>
        <row r="37">
          <cell r="AM37" t="str">
            <v>20126X</v>
          </cell>
          <cell r="AN37" t="str">
            <v>BPMA</v>
          </cell>
          <cell r="AO37" t="str">
            <v>2º SGT</v>
          </cell>
          <cell r="AP37" t="str">
            <v>ERIVALDO VICENTE</v>
          </cell>
          <cell r="AQ37" t="str">
            <v>ERIVALDO VICENTE DE OLIVEIRA</v>
          </cell>
        </row>
        <row r="38">
          <cell r="AM38">
            <v>205052</v>
          </cell>
          <cell r="AN38" t="str">
            <v>BPMA</v>
          </cell>
          <cell r="AO38" t="str">
            <v>2º SGT</v>
          </cell>
          <cell r="AP38" t="str">
            <v>KLEBER</v>
          </cell>
          <cell r="AQ38" t="str">
            <v>KLEBER LAURINDO DAMAZIO HIPOLITO</v>
          </cell>
        </row>
        <row r="39">
          <cell r="AM39">
            <v>213241</v>
          </cell>
          <cell r="AN39" t="str">
            <v>BPMA</v>
          </cell>
          <cell r="AO39" t="str">
            <v>2º SGT</v>
          </cell>
          <cell r="AP39" t="str">
            <v>EDNILDO</v>
          </cell>
          <cell r="AQ39" t="str">
            <v>EDNILDO NEY CASTRO</v>
          </cell>
        </row>
        <row r="40">
          <cell r="AM40">
            <v>216399</v>
          </cell>
          <cell r="AN40" t="str">
            <v>BPMA</v>
          </cell>
          <cell r="AO40" t="str">
            <v>2º SGT</v>
          </cell>
          <cell r="AP40" t="str">
            <v>SANTOS JUNIOR</v>
          </cell>
          <cell r="AQ40" t="str">
            <v>JOSE NORIVAL DOS SANTOS JUNIOR</v>
          </cell>
        </row>
        <row r="41">
          <cell r="AM41">
            <v>214655</v>
          </cell>
          <cell r="AN41" t="str">
            <v>BPMA</v>
          </cell>
          <cell r="AO41" t="str">
            <v>2º SGT</v>
          </cell>
          <cell r="AP41" t="str">
            <v>ALVES VIANA</v>
          </cell>
          <cell r="AQ41" t="str">
            <v>WLISSES ALVES VIANA</v>
          </cell>
        </row>
        <row r="42">
          <cell r="AM42">
            <v>213985</v>
          </cell>
          <cell r="AN42" t="str">
            <v>BPMA</v>
          </cell>
          <cell r="AO42" t="str">
            <v>2º SGT</v>
          </cell>
          <cell r="AP42" t="str">
            <v>ROBERTO GONCALVES</v>
          </cell>
          <cell r="AQ42" t="str">
            <v>ROBERTO PEREIRA GONCALVES</v>
          </cell>
        </row>
        <row r="43">
          <cell r="AM43" t="str">
            <v>21616X</v>
          </cell>
          <cell r="AN43" t="str">
            <v>BPMA</v>
          </cell>
          <cell r="AO43" t="str">
            <v>2º SGT</v>
          </cell>
          <cell r="AP43" t="str">
            <v>ODINEISON</v>
          </cell>
          <cell r="AQ43" t="str">
            <v>ODINEISON GUEDES PIMENTA</v>
          </cell>
        </row>
        <row r="44">
          <cell r="AM44">
            <v>217999</v>
          </cell>
          <cell r="AN44" t="str">
            <v>BPMA</v>
          </cell>
          <cell r="AO44" t="str">
            <v>2º SGT</v>
          </cell>
          <cell r="AP44" t="str">
            <v>ELTON NERI</v>
          </cell>
          <cell r="AQ44" t="str">
            <v>ELTON NERI DA CONCEICAO</v>
          </cell>
        </row>
        <row r="45">
          <cell r="AM45">
            <v>220760</v>
          </cell>
          <cell r="AN45" t="str">
            <v>BPMA</v>
          </cell>
          <cell r="AO45" t="str">
            <v>2º SGT</v>
          </cell>
          <cell r="AP45" t="str">
            <v>SELMAR SOUZA</v>
          </cell>
          <cell r="AQ45" t="str">
            <v>SELMAR JOSE DE SOUZA</v>
          </cell>
        </row>
        <row r="46">
          <cell r="AM46">
            <v>221430</v>
          </cell>
          <cell r="AN46" t="str">
            <v>BPMA</v>
          </cell>
          <cell r="AO46" t="str">
            <v>2º SGT</v>
          </cell>
          <cell r="AP46" t="str">
            <v>GILMAR ALVES</v>
          </cell>
          <cell r="AQ46" t="str">
            <v>GILMAR ALVES DOS SANTOS</v>
          </cell>
        </row>
        <row r="47">
          <cell r="AM47">
            <v>221074</v>
          </cell>
          <cell r="AN47" t="str">
            <v>BPMA</v>
          </cell>
          <cell r="AO47" t="str">
            <v>2º SGT</v>
          </cell>
          <cell r="AP47" t="str">
            <v>M. ALEXANDRE</v>
          </cell>
          <cell r="AQ47" t="str">
            <v>MARCIO ALEXANDRE FONSECA ARAUJO</v>
          </cell>
        </row>
        <row r="48">
          <cell r="AM48" t="str">
            <v>21759X</v>
          </cell>
          <cell r="AN48" t="str">
            <v>BPMA</v>
          </cell>
          <cell r="AO48" t="str">
            <v>2º SGT</v>
          </cell>
          <cell r="AP48" t="str">
            <v>WELINGTON CAMELO</v>
          </cell>
          <cell r="AQ48" t="str">
            <v>WELINGTON JEAN RICARDO CAMELO SOUSA</v>
          </cell>
        </row>
        <row r="49">
          <cell r="AM49">
            <v>222925</v>
          </cell>
          <cell r="AN49" t="str">
            <v>BPMA</v>
          </cell>
          <cell r="AO49" t="str">
            <v>2º SGT</v>
          </cell>
          <cell r="AP49" t="str">
            <v>ROBERVAL CASTRO</v>
          </cell>
          <cell r="AQ49" t="str">
            <v>ROBERVAL PAULO DE CASTRO</v>
          </cell>
        </row>
        <row r="50">
          <cell r="AM50">
            <v>228915</v>
          </cell>
          <cell r="AN50" t="str">
            <v>BPMA</v>
          </cell>
          <cell r="AO50" t="str">
            <v>2º SGT</v>
          </cell>
          <cell r="AP50" t="str">
            <v>MOTTA</v>
          </cell>
          <cell r="AQ50" t="str">
            <v>ISMAEL MOTTA</v>
          </cell>
        </row>
        <row r="51">
          <cell r="AM51">
            <v>229113</v>
          </cell>
          <cell r="AN51" t="str">
            <v>BPMA</v>
          </cell>
          <cell r="AO51" t="str">
            <v>2º SGT</v>
          </cell>
          <cell r="AP51" t="str">
            <v>EMERSON SILVA</v>
          </cell>
          <cell r="AQ51" t="str">
            <v>EMERSON FRANCISCO DA SILVA</v>
          </cell>
        </row>
        <row r="52">
          <cell r="AM52">
            <v>229180</v>
          </cell>
          <cell r="AN52" t="str">
            <v>BPMA</v>
          </cell>
          <cell r="AO52" t="str">
            <v>2º SGT</v>
          </cell>
          <cell r="AP52" t="str">
            <v>W. LUCAS</v>
          </cell>
          <cell r="AQ52" t="str">
            <v>WELLINGTON LUCAS DA MOTA</v>
          </cell>
        </row>
        <row r="53">
          <cell r="AM53">
            <v>226343</v>
          </cell>
          <cell r="AN53" t="str">
            <v>BPMA</v>
          </cell>
          <cell r="AO53" t="str">
            <v>2º SGT</v>
          </cell>
          <cell r="AP53" t="str">
            <v>FRANKLIM RODRIGUES</v>
          </cell>
          <cell r="AQ53" t="str">
            <v>FRANKLIM RODRIGUES EVANGELISTA</v>
          </cell>
        </row>
        <row r="54">
          <cell r="AM54">
            <v>244082</v>
          </cell>
          <cell r="AN54" t="str">
            <v>BPMA</v>
          </cell>
          <cell r="AO54" t="str">
            <v>2º SGT</v>
          </cell>
          <cell r="AP54" t="str">
            <v>LUIZ REZENDE</v>
          </cell>
          <cell r="AQ54" t="str">
            <v>LUIZ GERALDO REZENDE</v>
          </cell>
        </row>
        <row r="55">
          <cell r="AM55">
            <v>237132</v>
          </cell>
          <cell r="AN55" t="str">
            <v>BPMA</v>
          </cell>
          <cell r="AO55" t="str">
            <v>2º SGT</v>
          </cell>
          <cell r="AP55" t="str">
            <v>VILELA DIAS</v>
          </cell>
          <cell r="AQ55" t="str">
            <v>LEONARDO CUNHA VILELA DIAS</v>
          </cell>
        </row>
        <row r="56">
          <cell r="AM56">
            <v>240257</v>
          </cell>
          <cell r="AN56" t="str">
            <v>BPMA</v>
          </cell>
          <cell r="AO56" t="str">
            <v>2º SGT</v>
          </cell>
          <cell r="AP56" t="str">
            <v>UZIEL FERNANDES</v>
          </cell>
          <cell r="AQ56" t="str">
            <v>UZIEL DE SA FERNANDES</v>
          </cell>
        </row>
        <row r="57">
          <cell r="AM57">
            <v>237442</v>
          </cell>
          <cell r="AN57" t="str">
            <v>BPMA</v>
          </cell>
          <cell r="AO57" t="str">
            <v>2º SGT</v>
          </cell>
          <cell r="AP57" t="str">
            <v>LIVIO</v>
          </cell>
          <cell r="AQ57" t="str">
            <v>LIVIO ALESSANDRO GOMES ALVES</v>
          </cell>
        </row>
        <row r="58">
          <cell r="AM58">
            <v>236683</v>
          </cell>
          <cell r="AN58" t="str">
            <v>BPMA</v>
          </cell>
          <cell r="AO58" t="str">
            <v>2º SGT</v>
          </cell>
          <cell r="AP58" t="str">
            <v>NAGEL LINKE</v>
          </cell>
          <cell r="AQ58" t="str">
            <v>JACSON NAGEL LINKE</v>
          </cell>
        </row>
        <row r="59">
          <cell r="AM59">
            <v>242624</v>
          </cell>
          <cell r="AN59" t="str">
            <v>BPMA</v>
          </cell>
          <cell r="AO59" t="str">
            <v>2º SGT</v>
          </cell>
          <cell r="AP59" t="str">
            <v>LEOMAR SILVA</v>
          </cell>
          <cell r="AQ59" t="str">
            <v>LEOMAR PEDRO DA SILVA</v>
          </cell>
        </row>
        <row r="60">
          <cell r="AM60">
            <v>238074</v>
          </cell>
          <cell r="AN60" t="str">
            <v>BPMA</v>
          </cell>
          <cell r="AO60" t="str">
            <v>3º SGT</v>
          </cell>
          <cell r="AP60" t="str">
            <v>MARCUS PENHA</v>
          </cell>
          <cell r="AQ60" t="str">
            <v>MARCUS FLAVIO SOUSA PENHA</v>
          </cell>
        </row>
        <row r="61">
          <cell r="AM61" t="str">
            <v>23690X</v>
          </cell>
          <cell r="AN61" t="str">
            <v>BPMA</v>
          </cell>
          <cell r="AO61" t="str">
            <v>3º SGT</v>
          </cell>
          <cell r="AP61" t="str">
            <v>J. ESPINDOLA</v>
          </cell>
          <cell r="AQ61" t="str">
            <v>JURACY ESPINDOLA DE ALMEIDA</v>
          </cell>
        </row>
        <row r="62">
          <cell r="AM62">
            <v>242942</v>
          </cell>
          <cell r="AN62" t="str">
            <v>BPMA</v>
          </cell>
          <cell r="AO62" t="str">
            <v>3º SGT</v>
          </cell>
          <cell r="AP62" t="str">
            <v>MAURO CORREIA</v>
          </cell>
          <cell r="AQ62" t="str">
            <v>MAURO FERNANDO CORREIA</v>
          </cell>
        </row>
        <row r="63">
          <cell r="AM63">
            <v>733008</v>
          </cell>
          <cell r="AN63" t="str">
            <v>BPMA</v>
          </cell>
          <cell r="AO63" t="str">
            <v>3º SGT</v>
          </cell>
          <cell r="AP63" t="str">
            <v>JULIO SOUZA</v>
          </cell>
          <cell r="AQ63" t="str">
            <v>JULIO CESAR FERNANDES DE SOUZA</v>
          </cell>
        </row>
        <row r="64">
          <cell r="AM64">
            <v>728012</v>
          </cell>
          <cell r="AN64" t="str">
            <v>BPMA</v>
          </cell>
          <cell r="AO64" t="str">
            <v>3º SGT</v>
          </cell>
          <cell r="AP64" t="str">
            <v>PAULO BOMFIM</v>
          </cell>
          <cell r="AQ64" t="str">
            <v>PAULO ROBERTO FERREIRA BOMFIM</v>
          </cell>
        </row>
        <row r="65">
          <cell r="AM65">
            <v>730858</v>
          </cell>
          <cell r="AN65" t="str">
            <v>BPMA</v>
          </cell>
          <cell r="AO65" t="str">
            <v>3º SGT</v>
          </cell>
          <cell r="AP65" t="str">
            <v>MARCELO MELO</v>
          </cell>
          <cell r="AQ65" t="str">
            <v>MARCELO FERREIRA DE MELO</v>
          </cell>
        </row>
        <row r="66">
          <cell r="AM66">
            <v>727660</v>
          </cell>
          <cell r="AN66" t="str">
            <v>BPMA</v>
          </cell>
          <cell r="AO66" t="str">
            <v>3º SGT</v>
          </cell>
          <cell r="AP66" t="str">
            <v>NUNES</v>
          </cell>
          <cell r="AQ66" t="str">
            <v>CARLOS EDUARDO RODRIGUES NUNES</v>
          </cell>
        </row>
        <row r="67">
          <cell r="AM67">
            <v>2153866</v>
          </cell>
          <cell r="AN67" t="str">
            <v>BPMA</v>
          </cell>
          <cell r="AO67" t="str">
            <v>3º SGT</v>
          </cell>
          <cell r="AP67" t="str">
            <v>PEREIRA RIBEIRO</v>
          </cell>
          <cell r="AQ67" t="str">
            <v>RENATO PEREIRA RIBEIRO</v>
          </cell>
        </row>
        <row r="68">
          <cell r="AM68">
            <v>731285</v>
          </cell>
          <cell r="AN68" t="str">
            <v>BPMA</v>
          </cell>
          <cell r="AO68" t="str">
            <v>3º SGT</v>
          </cell>
          <cell r="AP68" t="str">
            <v>MAURICIO ALVES</v>
          </cell>
          <cell r="AQ68" t="str">
            <v>MAURICIO ALVES DA SILVA</v>
          </cell>
        </row>
        <row r="69">
          <cell r="AM69">
            <v>731161</v>
          </cell>
          <cell r="AN69" t="str">
            <v>BPMA</v>
          </cell>
          <cell r="AO69" t="str">
            <v>3º SGT</v>
          </cell>
          <cell r="AP69" t="str">
            <v>JAIMILTON</v>
          </cell>
          <cell r="AQ69" t="str">
            <v>JAIMILTON FERREIRA PASSOS</v>
          </cell>
        </row>
        <row r="70">
          <cell r="AM70">
            <v>728039</v>
          </cell>
          <cell r="AN70" t="str">
            <v>BPMA</v>
          </cell>
          <cell r="AO70" t="str">
            <v>3º SGT</v>
          </cell>
          <cell r="AP70" t="str">
            <v>HERMANO</v>
          </cell>
          <cell r="AQ70" t="str">
            <v>HERMANO ARAUJO DOS SANTOS</v>
          </cell>
        </row>
        <row r="71">
          <cell r="AM71">
            <v>730629</v>
          </cell>
          <cell r="AN71" t="str">
            <v>BPMA</v>
          </cell>
          <cell r="AO71" t="str">
            <v>3º SGT</v>
          </cell>
          <cell r="AP71" t="str">
            <v>RONALD TEIXEIRA</v>
          </cell>
          <cell r="AQ71" t="str">
            <v>RONALD DA SILVA TEIXEIRA</v>
          </cell>
        </row>
        <row r="72">
          <cell r="AM72">
            <v>728357</v>
          </cell>
          <cell r="AN72" t="str">
            <v>BPMA</v>
          </cell>
          <cell r="AO72" t="str">
            <v>3º SGT</v>
          </cell>
          <cell r="AP72" t="str">
            <v>MARCELO SOUSA</v>
          </cell>
          <cell r="AQ72" t="str">
            <v>MARCELO ALVES DE SOUSA SILVA</v>
          </cell>
        </row>
        <row r="73">
          <cell r="AM73">
            <v>729396</v>
          </cell>
          <cell r="AN73" t="str">
            <v>BPMA</v>
          </cell>
          <cell r="AO73" t="str">
            <v>3º SGT</v>
          </cell>
          <cell r="AP73" t="str">
            <v>ARAUJO ANDRADE</v>
          </cell>
          <cell r="AQ73" t="str">
            <v>SERGIO FABIO DE ARAUJO ANDRADE</v>
          </cell>
        </row>
        <row r="74">
          <cell r="AM74">
            <v>737402</v>
          </cell>
          <cell r="AN74" t="str">
            <v>BPMA</v>
          </cell>
          <cell r="AO74" t="str">
            <v>3º SGT</v>
          </cell>
          <cell r="AP74" t="str">
            <v>F. NASCIMENTO</v>
          </cell>
          <cell r="AQ74" t="str">
            <v>FERNANDO APARECIDO DO NASCIMENTO</v>
          </cell>
        </row>
        <row r="75">
          <cell r="AM75">
            <v>740365</v>
          </cell>
          <cell r="AN75" t="str">
            <v>BPMA</v>
          </cell>
          <cell r="AO75" t="str">
            <v>3º SGT</v>
          </cell>
          <cell r="AP75" t="str">
            <v>CADETE</v>
          </cell>
          <cell r="AQ75" t="str">
            <v>WESLEY DE GODOY CADETE</v>
          </cell>
        </row>
        <row r="76">
          <cell r="AM76">
            <v>738549</v>
          </cell>
          <cell r="AN76" t="str">
            <v>BPMA</v>
          </cell>
          <cell r="AO76" t="str">
            <v>3º SGT</v>
          </cell>
          <cell r="AP76" t="str">
            <v>MARCEL FERNANDES</v>
          </cell>
          <cell r="AQ76" t="str">
            <v>MARCEL LARA FERNANDES</v>
          </cell>
        </row>
        <row r="77">
          <cell r="AM77" t="str">
            <v>74364X</v>
          </cell>
          <cell r="AN77" t="str">
            <v>BPMA</v>
          </cell>
          <cell r="AO77" t="str">
            <v>3º SGT</v>
          </cell>
          <cell r="AP77" t="str">
            <v>ARI BARBOSA</v>
          </cell>
          <cell r="AQ77" t="str">
            <v>ARI BARBOSA MARTINS</v>
          </cell>
        </row>
        <row r="78">
          <cell r="AM78">
            <v>743097</v>
          </cell>
          <cell r="AN78" t="str">
            <v>BPMA</v>
          </cell>
          <cell r="AO78" t="str">
            <v>3º SGT</v>
          </cell>
          <cell r="AP78" t="str">
            <v>KATILENE</v>
          </cell>
          <cell r="AQ78" t="str">
            <v>KATILENE ABREU CORREA DOS SANTOS</v>
          </cell>
        </row>
        <row r="79">
          <cell r="AM79">
            <v>736341</v>
          </cell>
          <cell r="AN79" t="str">
            <v>BPMA</v>
          </cell>
          <cell r="AO79" t="str">
            <v>3º SGT</v>
          </cell>
          <cell r="AP79" t="str">
            <v>OTTONI</v>
          </cell>
          <cell r="AQ79" t="str">
            <v>DAIBES OTTONI DE OLIVEIRA FILHO</v>
          </cell>
        </row>
        <row r="80">
          <cell r="AM80">
            <v>740195</v>
          </cell>
          <cell r="AN80" t="str">
            <v>BPMA</v>
          </cell>
          <cell r="AO80" t="str">
            <v>3º SGT</v>
          </cell>
          <cell r="AP80" t="str">
            <v>SEM GOMES</v>
          </cell>
          <cell r="AQ80" t="str">
            <v>SEM OLIVEIRA GOMES</v>
          </cell>
        </row>
        <row r="81">
          <cell r="AM81">
            <v>740934</v>
          </cell>
          <cell r="AN81" t="str">
            <v>BPMA</v>
          </cell>
          <cell r="AO81" t="str">
            <v>3º SGT</v>
          </cell>
          <cell r="AP81" t="str">
            <v>C. MEDEIROS</v>
          </cell>
          <cell r="AQ81" t="str">
            <v>CARLOS EDUARDO MEDEIROS</v>
          </cell>
        </row>
        <row r="82">
          <cell r="AM82" t="str">
            <v>73876X</v>
          </cell>
          <cell r="AN82" t="str">
            <v>BPMA</v>
          </cell>
          <cell r="AO82" t="str">
            <v>3º SGT</v>
          </cell>
          <cell r="AP82" t="str">
            <v>MAENDLI</v>
          </cell>
          <cell r="AQ82" t="str">
            <v>MAENDLI TENIS DA HORA JUNIOR</v>
          </cell>
        </row>
        <row r="83">
          <cell r="AM83">
            <v>740160</v>
          </cell>
          <cell r="AN83" t="str">
            <v>BPMA</v>
          </cell>
          <cell r="AO83" t="str">
            <v>3º SGT</v>
          </cell>
          <cell r="AP83" t="str">
            <v>SAMUEL ALVES</v>
          </cell>
          <cell r="AQ83" t="str">
            <v>SAMUEL ALVES DE OLIVEIRA COSTA</v>
          </cell>
        </row>
        <row r="84">
          <cell r="AM84">
            <v>738719</v>
          </cell>
          <cell r="AN84" t="str">
            <v>BPMA</v>
          </cell>
          <cell r="AO84" t="str">
            <v>3º SGT</v>
          </cell>
          <cell r="AP84" t="str">
            <v>LEONARDO ARAUJO</v>
          </cell>
          <cell r="AQ84" t="str">
            <v>LEONARDO LOPES DE ARAUJO</v>
          </cell>
        </row>
        <row r="85">
          <cell r="AM85" t="str">
            <v>73943X</v>
          </cell>
          <cell r="AN85" t="str">
            <v>BPMA</v>
          </cell>
          <cell r="AO85" t="str">
            <v>3º SGT</v>
          </cell>
          <cell r="AP85" t="str">
            <v>PAULO CELIO</v>
          </cell>
          <cell r="AQ85" t="str">
            <v>PAULO CELIO VIEIRA</v>
          </cell>
        </row>
        <row r="86">
          <cell r="AM86" t="str">
            <v>73909X</v>
          </cell>
          <cell r="AN86" t="str">
            <v>BPMA</v>
          </cell>
          <cell r="AO86" t="str">
            <v>3º SGT</v>
          </cell>
          <cell r="AP86" t="str">
            <v>MARCUS BARREIRA</v>
          </cell>
          <cell r="AQ86" t="str">
            <v>MARCUS VINICIUS RODRIGUES BARREIRA</v>
          </cell>
        </row>
        <row r="87">
          <cell r="AM87">
            <v>1955306</v>
          </cell>
          <cell r="AN87" t="str">
            <v>BPMA</v>
          </cell>
          <cell r="AO87" t="str">
            <v>3º SGT</v>
          </cell>
          <cell r="AP87" t="str">
            <v>MASSAMI</v>
          </cell>
          <cell r="AQ87" t="str">
            <v>CARLOS MASSAMI DE MACEDO ENDO</v>
          </cell>
        </row>
        <row r="88">
          <cell r="AM88" t="str">
            <v>195976X</v>
          </cell>
          <cell r="AN88" t="str">
            <v>BPMA</v>
          </cell>
          <cell r="AO88" t="str">
            <v>3º SGT</v>
          </cell>
          <cell r="AP88" t="str">
            <v>HOLANDA</v>
          </cell>
          <cell r="AQ88" t="str">
            <v>FLAVIO ALVES DE HOLANDA</v>
          </cell>
        </row>
        <row r="89">
          <cell r="AM89" t="str">
            <v>195833X</v>
          </cell>
          <cell r="AN89" t="str">
            <v>BPMA</v>
          </cell>
          <cell r="AO89" t="str">
            <v>3º SGT</v>
          </cell>
          <cell r="AP89" t="str">
            <v>R. SOARES</v>
          </cell>
          <cell r="AQ89" t="str">
            <v>WESLEY RODRIGO SOARES</v>
          </cell>
        </row>
        <row r="90">
          <cell r="AM90">
            <v>1955411</v>
          </cell>
          <cell r="AN90" t="str">
            <v>BPMA</v>
          </cell>
          <cell r="AO90" t="str">
            <v>3º SGT</v>
          </cell>
          <cell r="AP90" t="str">
            <v>P. MACHADO</v>
          </cell>
          <cell r="AQ90" t="str">
            <v>PAULO ROBERTO BATISTA MACHADO</v>
          </cell>
        </row>
        <row r="91">
          <cell r="AM91">
            <v>1963074</v>
          </cell>
          <cell r="AN91" t="str">
            <v>BPMA</v>
          </cell>
          <cell r="AO91" t="str">
            <v>3º SGT</v>
          </cell>
          <cell r="AP91" t="str">
            <v>GIULLIANO</v>
          </cell>
          <cell r="AQ91" t="str">
            <v>GIULLIANO DE SOUZA CAMPOS</v>
          </cell>
        </row>
        <row r="92">
          <cell r="AM92">
            <v>1966774</v>
          </cell>
          <cell r="AN92" t="str">
            <v>BPMA</v>
          </cell>
          <cell r="AO92" t="str">
            <v>3º SGT</v>
          </cell>
          <cell r="AP92" t="str">
            <v>JORGE</v>
          </cell>
          <cell r="AQ92" t="str">
            <v>JORGE PEREIRA DE MELO</v>
          </cell>
        </row>
        <row r="93">
          <cell r="AM93">
            <v>1998552</v>
          </cell>
          <cell r="AN93" t="str">
            <v>BPMA</v>
          </cell>
          <cell r="AO93" t="str">
            <v>3º SGT</v>
          </cell>
          <cell r="AP93" t="str">
            <v>LANDAHL</v>
          </cell>
          <cell r="AQ93" t="str">
            <v>DANIEL TAVARES LANDAHL</v>
          </cell>
        </row>
        <row r="94">
          <cell r="AM94">
            <v>2149338</v>
          </cell>
          <cell r="AN94" t="str">
            <v>BPMA</v>
          </cell>
          <cell r="AO94" t="str">
            <v>3º SGT</v>
          </cell>
          <cell r="AP94" t="str">
            <v>COSTA OLIVEIRA</v>
          </cell>
          <cell r="AQ94" t="str">
            <v>GABRIEL COSTA OLIVEIRA</v>
          </cell>
        </row>
        <row r="95">
          <cell r="AM95">
            <v>2149397</v>
          </cell>
          <cell r="AN95" t="str">
            <v>BPMA</v>
          </cell>
          <cell r="AO95" t="str">
            <v>3º SGT</v>
          </cell>
          <cell r="AP95" t="str">
            <v>SHIKASHO</v>
          </cell>
          <cell r="AQ95" t="str">
            <v>LUIS EDUARDO SHIKASHO</v>
          </cell>
        </row>
        <row r="96">
          <cell r="AM96">
            <v>2149621</v>
          </cell>
          <cell r="AN96" t="str">
            <v>BPMA</v>
          </cell>
          <cell r="AO96" t="str">
            <v>3º SGT</v>
          </cell>
          <cell r="AP96" t="str">
            <v>V. FERREIRA</v>
          </cell>
          <cell r="AQ96" t="str">
            <v>RAPHAEL VINICIUS DE OLIVEIRA FERREIRA</v>
          </cell>
        </row>
        <row r="97">
          <cell r="AM97" t="str">
            <v>215093X</v>
          </cell>
          <cell r="AN97" t="str">
            <v>BPMA</v>
          </cell>
          <cell r="AO97" t="str">
            <v>3º SGT</v>
          </cell>
          <cell r="AP97" t="str">
            <v>WESLEN SILVA</v>
          </cell>
          <cell r="AQ97" t="str">
            <v>WESLEN COSTA DA SILVA</v>
          </cell>
        </row>
        <row r="98">
          <cell r="AM98">
            <v>2154250</v>
          </cell>
          <cell r="AN98" t="str">
            <v>BPMA</v>
          </cell>
          <cell r="AO98" t="str">
            <v>3º SGT</v>
          </cell>
          <cell r="AP98" t="str">
            <v>MIKHAIL</v>
          </cell>
          <cell r="AQ98" t="str">
            <v>FERNANDO MIKHAIL DE ALBUQUERQUE PINHEIRO</v>
          </cell>
        </row>
        <row r="99">
          <cell r="AM99">
            <v>1998722</v>
          </cell>
          <cell r="AN99" t="str">
            <v>BPMA</v>
          </cell>
          <cell r="AO99" t="str">
            <v>3º SGT</v>
          </cell>
          <cell r="AP99" t="str">
            <v>D. AGUIAR</v>
          </cell>
          <cell r="AQ99" t="str">
            <v>DIEGO DE AGUIAR CUNHA</v>
          </cell>
        </row>
        <row r="100">
          <cell r="AM100">
            <v>7318561</v>
          </cell>
          <cell r="AN100" t="str">
            <v>BPMA</v>
          </cell>
          <cell r="AO100" t="str">
            <v>CB</v>
          </cell>
          <cell r="AP100" t="str">
            <v>E. MEIRA</v>
          </cell>
          <cell r="AQ100" t="str">
            <v>EDIMILSON MEIRA DOS SANTOS</v>
          </cell>
        </row>
        <row r="101">
          <cell r="AM101">
            <v>2149850</v>
          </cell>
          <cell r="AN101" t="str">
            <v>BPMA</v>
          </cell>
          <cell r="AO101" t="str">
            <v>CB</v>
          </cell>
          <cell r="AP101" t="str">
            <v>GERVAZIO</v>
          </cell>
          <cell r="AQ101" t="str">
            <v>FRANCISCO GERVAZIO DE AZEVEDO NETO</v>
          </cell>
        </row>
        <row r="102">
          <cell r="AM102">
            <v>1998560</v>
          </cell>
          <cell r="AN102" t="str">
            <v>BPMA</v>
          </cell>
          <cell r="AO102" t="str">
            <v>CB</v>
          </cell>
          <cell r="AP102" t="str">
            <v>BRENO</v>
          </cell>
          <cell r="AQ102" t="str">
            <v>BRENO DOS SANTOS SILVA</v>
          </cell>
        </row>
        <row r="103">
          <cell r="AM103">
            <v>7322631</v>
          </cell>
          <cell r="AN103" t="str">
            <v>BPMA</v>
          </cell>
          <cell r="AO103" t="str">
            <v>CB</v>
          </cell>
          <cell r="AP103" t="str">
            <v>BRICIO</v>
          </cell>
          <cell r="AQ103" t="str">
            <v>BRICIO HERBERT ALVES TEIXEIRA</v>
          </cell>
        </row>
        <row r="104">
          <cell r="AM104">
            <v>7313993</v>
          </cell>
          <cell r="AN104" t="str">
            <v>BPMA</v>
          </cell>
          <cell r="AO104" t="str">
            <v>CB</v>
          </cell>
          <cell r="AP104" t="str">
            <v>IGOR</v>
          </cell>
          <cell r="AQ104" t="str">
            <v>IGOR SANTOS NUNES</v>
          </cell>
        </row>
        <row r="105">
          <cell r="AM105">
            <v>7317948</v>
          </cell>
          <cell r="AN105" t="str">
            <v>BPMA</v>
          </cell>
          <cell r="AO105" t="str">
            <v>CB</v>
          </cell>
          <cell r="AP105" t="str">
            <v>MUNIZ PAIXÃO</v>
          </cell>
          <cell r="AQ105" t="str">
            <v>GUSTAVO MUNIZ DA PAIXÃO</v>
          </cell>
        </row>
        <row r="106">
          <cell r="AM106">
            <v>7320582</v>
          </cell>
          <cell r="AN106" t="str">
            <v>BPMA</v>
          </cell>
          <cell r="AO106" t="str">
            <v>CB</v>
          </cell>
          <cell r="AP106" t="str">
            <v>PAULO PINHEIRO</v>
          </cell>
          <cell r="AQ106" t="str">
            <v>RODOLFO MEDEIROS DE PAULO PINHEIRO</v>
          </cell>
        </row>
        <row r="107">
          <cell r="AM107">
            <v>7318960</v>
          </cell>
          <cell r="AN107" t="str">
            <v>BPMA</v>
          </cell>
          <cell r="AO107" t="str">
            <v>CB</v>
          </cell>
          <cell r="AP107" t="str">
            <v>SIRQUEIRA DIAS</v>
          </cell>
          <cell r="AQ107" t="str">
            <v>DANIEL ANTONIO SIRQUEIRA DIAS</v>
          </cell>
        </row>
        <row r="108">
          <cell r="AM108">
            <v>7315902</v>
          </cell>
          <cell r="AN108" t="str">
            <v>BPMA</v>
          </cell>
          <cell r="AO108" t="str">
            <v>CB</v>
          </cell>
          <cell r="AP108" t="str">
            <v>ECHAMENDE</v>
          </cell>
          <cell r="AQ108" t="str">
            <v>FERNANDA DOS SANTOS ECHAMENDE</v>
          </cell>
        </row>
        <row r="109">
          <cell r="AM109">
            <v>7315910</v>
          </cell>
          <cell r="AN109" t="str">
            <v>BPMA</v>
          </cell>
          <cell r="AO109" t="str">
            <v>CB</v>
          </cell>
          <cell r="AP109" t="str">
            <v>MARTINS BARBOSA</v>
          </cell>
          <cell r="AQ109" t="str">
            <v>RODRIGO MARTINS DO NASCIMENTO BARBOSA</v>
          </cell>
        </row>
        <row r="110">
          <cell r="AM110">
            <v>7313217</v>
          </cell>
          <cell r="AN110" t="str">
            <v>BPMA</v>
          </cell>
          <cell r="AO110" t="str">
            <v>CB</v>
          </cell>
          <cell r="AP110" t="str">
            <v>THIAGO TEIXEIRA</v>
          </cell>
          <cell r="AQ110" t="str">
            <v>THIAGO TEIXEIRA DE OLIVEIRA</v>
          </cell>
        </row>
        <row r="111">
          <cell r="AM111">
            <v>7316844</v>
          </cell>
          <cell r="AN111" t="str">
            <v>BPMA</v>
          </cell>
          <cell r="AO111" t="str">
            <v>CB</v>
          </cell>
          <cell r="AP111" t="str">
            <v>COUTINHO</v>
          </cell>
          <cell r="AQ111" t="str">
            <v>WESLEY COUTINHO DE LIMA</v>
          </cell>
        </row>
        <row r="112">
          <cell r="AM112">
            <v>7322526</v>
          </cell>
          <cell r="AN112" t="str">
            <v>BPMA</v>
          </cell>
          <cell r="AO112" t="str">
            <v>CB</v>
          </cell>
          <cell r="AP112" t="str">
            <v>VICTOR ALVES</v>
          </cell>
          <cell r="AQ112" t="str">
            <v>JOAO VICTOR ALVES DA SILVA</v>
          </cell>
        </row>
        <row r="113">
          <cell r="AM113" t="str">
            <v>731471X</v>
          </cell>
          <cell r="AN113" t="str">
            <v>BPMA</v>
          </cell>
          <cell r="AO113" t="str">
            <v>CB</v>
          </cell>
          <cell r="AP113" t="str">
            <v>LUCAS ALVES</v>
          </cell>
          <cell r="AQ113" t="str">
            <v>LUCAS ALVES MIRANDA</v>
          </cell>
        </row>
        <row r="114">
          <cell r="AM114">
            <v>7321317</v>
          </cell>
          <cell r="AN114" t="str">
            <v>BPMA</v>
          </cell>
          <cell r="AO114" t="str">
            <v>CB</v>
          </cell>
          <cell r="AP114" t="str">
            <v>M. VIEIRA</v>
          </cell>
          <cell r="AQ114" t="str">
            <v>MARCILIO CARNEIRO ALVES VIEIRA</v>
          </cell>
        </row>
        <row r="115">
          <cell r="AM115">
            <v>7320191</v>
          </cell>
          <cell r="AN115" t="str">
            <v>BPMA</v>
          </cell>
          <cell r="AO115" t="str">
            <v>CB</v>
          </cell>
          <cell r="AP115" t="str">
            <v>BRAGA</v>
          </cell>
          <cell r="AQ115" t="str">
            <v>DENISSON DE SOUZA BRAGA</v>
          </cell>
        </row>
        <row r="116">
          <cell r="AM116">
            <v>7315090</v>
          </cell>
          <cell r="AN116" t="str">
            <v>BPMA</v>
          </cell>
          <cell r="AO116" t="str">
            <v>CB</v>
          </cell>
          <cell r="AP116" t="str">
            <v>ALVES SILVA</v>
          </cell>
          <cell r="AQ116" t="str">
            <v>THIAGO ALVES DA SILVA</v>
          </cell>
        </row>
        <row r="117">
          <cell r="AM117">
            <v>7316518</v>
          </cell>
          <cell r="AN117" t="str">
            <v>BPMA</v>
          </cell>
          <cell r="AO117" t="str">
            <v>CB</v>
          </cell>
          <cell r="AP117" t="str">
            <v>TOLEDO RAMOS</v>
          </cell>
          <cell r="AQ117" t="str">
            <v>RAFAEL TOLEDO RAMOS</v>
          </cell>
        </row>
        <row r="118">
          <cell r="AM118">
            <v>7320515</v>
          </cell>
          <cell r="AN118" t="str">
            <v>BPMA</v>
          </cell>
          <cell r="AO118" t="str">
            <v>CB</v>
          </cell>
          <cell r="AP118" t="str">
            <v>PARAGUAI</v>
          </cell>
          <cell r="AQ118" t="str">
            <v>GILLIARD CAMPOS PARAGUAI</v>
          </cell>
        </row>
        <row r="119">
          <cell r="AM119">
            <v>7322569</v>
          </cell>
          <cell r="AN119" t="str">
            <v>BPMA</v>
          </cell>
          <cell r="AO119" t="str">
            <v>CB</v>
          </cell>
          <cell r="AP119" t="str">
            <v>WELITON SANTOS</v>
          </cell>
          <cell r="AQ119" t="str">
            <v>WELITON WAGNER DOS SANTOS</v>
          </cell>
        </row>
        <row r="120">
          <cell r="AM120">
            <v>7314876</v>
          </cell>
          <cell r="AN120" t="str">
            <v>BPMA</v>
          </cell>
          <cell r="AO120" t="str">
            <v>CB</v>
          </cell>
          <cell r="AP120" t="str">
            <v>JULIO OGAWA</v>
          </cell>
          <cell r="AQ120" t="str">
            <v>JULIO CEZAR GABRIEL OGAWA</v>
          </cell>
        </row>
        <row r="121">
          <cell r="AM121">
            <v>7318553</v>
          </cell>
          <cell r="AN121" t="str">
            <v>BPMA</v>
          </cell>
          <cell r="AO121" t="str">
            <v>CB</v>
          </cell>
          <cell r="AP121" t="str">
            <v>MARANHÃO</v>
          </cell>
          <cell r="AQ121" t="str">
            <v>RAFAEL MARANHAO COSTA E SILVA</v>
          </cell>
        </row>
        <row r="122">
          <cell r="AM122">
            <v>7315139</v>
          </cell>
          <cell r="AN122" t="str">
            <v>BPMA</v>
          </cell>
          <cell r="AO122" t="str">
            <v>CB</v>
          </cell>
          <cell r="AP122" t="str">
            <v>ROGERIO PORTELA</v>
          </cell>
          <cell r="AQ122" t="str">
            <v>ROGERIO XIMENES PORTELA</v>
          </cell>
        </row>
        <row r="123">
          <cell r="AM123">
            <v>7319126</v>
          </cell>
          <cell r="AN123" t="str">
            <v>BPMA</v>
          </cell>
          <cell r="AO123" t="str">
            <v>CB</v>
          </cell>
          <cell r="AP123" t="str">
            <v>SAULO COSTA</v>
          </cell>
          <cell r="AQ123" t="str">
            <v>SAULO ELEUTERIO COSTA</v>
          </cell>
        </row>
        <row r="124">
          <cell r="AM124" t="str">
            <v>731549X</v>
          </cell>
          <cell r="AN124" t="str">
            <v>BPMA</v>
          </cell>
          <cell r="AO124" t="str">
            <v>CB</v>
          </cell>
          <cell r="AP124" t="str">
            <v>GREICY</v>
          </cell>
          <cell r="AQ124" t="str">
            <v>GREICY ERNESTINA DA SILVA</v>
          </cell>
        </row>
        <row r="125">
          <cell r="AM125" t="str">
            <v>731292X</v>
          </cell>
          <cell r="AN125" t="str">
            <v>BPMA</v>
          </cell>
          <cell r="AO125" t="str">
            <v>CB</v>
          </cell>
          <cell r="AP125" t="str">
            <v>MAIA</v>
          </cell>
          <cell r="AQ125" t="str">
            <v>SANNY MARY MELLO MAIA</v>
          </cell>
        </row>
        <row r="126">
          <cell r="AM126">
            <v>2184583</v>
          </cell>
          <cell r="AN126" t="str">
            <v>BPMA</v>
          </cell>
          <cell r="AO126" t="str">
            <v>CB</v>
          </cell>
          <cell r="AP126" t="str">
            <v>RONIE SOUSA</v>
          </cell>
          <cell r="AQ126" t="str">
            <v>RONIE VON FONSECA DE SOUSA</v>
          </cell>
        </row>
        <row r="127">
          <cell r="AM127">
            <v>7322372</v>
          </cell>
          <cell r="AN127" t="str">
            <v>BPMA</v>
          </cell>
          <cell r="AO127" t="str">
            <v>CB</v>
          </cell>
          <cell r="AP127" t="str">
            <v>MELINA</v>
          </cell>
          <cell r="AQ127" t="str">
            <v>MELINA WOELLNER DE SOUZA</v>
          </cell>
        </row>
        <row r="128">
          <cell r="AM128" t="str">
            <v>731454X</v>
          </cell>
          <cell r="AN128" t="str">
            <v>BPMA</v>
          </cell>
          <cell r="AO128" t="str">
            <v>CB</v>
          </cell>
          <cell r="AP128" t="str">
            <v>JUSSIARA</v>
          </cell>
          <cell r="AQ128" t="str">
            <v>JUSSIARA DA SILVA LOPES</v>
          </cell>
        </row>
        <row r="129">
          <cell r="AM129">
            <v>7316054</v>
          </cell>
          <cell r="AN129" t="str">
            <v>BPMA</v>
          </cell>
          <cell r="AO129" t="str">
            <v>CB</v>
          </cell>
          <cell r="AP129" t="str">
            <v>R. AQUINO</v>
          </cell>
          <cell r="AQ129" t="str">
            <v>YURY RIBEIRO DE AQUINO</v>
          </cell>
        </row>
        <row r="130">
          <cell r="AM130">
            <v>7320213</v>
          </cell>
          <cell r="AN130" t="str">
            <v>BPMA</v>
          </cell>
          <cell r="AO130" t="str">
            <v>CB</v>
          </cell>
          <cell r="AP130" t="str">
            <v>CAETANO</v>
          </cell>
          <cell r="AQ130" t="str">
            <v>PEDRO HELIO CAETANO RIBAS</v>
          </cell>
        </row>
        <row r="131">
          <cell r="AM131" t="str">
            <v>732412x</v>
          </cell>
          <cell r="AN131" t="str">
            <v>BPMA</v>
          </cell>
          <cell r="AO131" t="str">
            <v>CB</v>
          </cell>
          <cell r="AP131" t="str">
            <v>DANIEL ASSIS</v>
          </cell>
          <cell r="AQ131" t="str">
            <v>DANIEL CORREA DE ASSIS</v>
          </cell>
        </row>
        <row r="132">
          <cell r="AM132">
            <v>7321422</v>
          </cell>
          <cell r="AN132" t="str">
            <v>BPMA</v>
          </cell>
          <cell r="AO132" t="str">
            <v>CB</v>
          </cell>
          <cell r="AP132" t="str">
            <v>FILIPE LIRA</v>
          </cell>
          <cell r="AQ132" t="str">
            <v>FILIPE XAVIER DE LIRA SILVA</v>
          </cell>
        </row>
        <row r="133">
          <cell r="AM133">
            <v>7322143</v>
          </cell>
          <cell r="AN133" t="str">
            <v>BPMA</v>
          </cell>
          <cell r="AO133" t="str">
            <v>CB</v>
          </cell>
          <cell r="AP133" t="str">
            <v>EDUARDO RIBEIRO</v>
          </cell>
          <cell r="AQ133" t="str">
            <v>EDUARDO RIBEIRO PIMENTEL</v>
          </cell>
        </row>
        <row r="134">
          <cell r="AM134" t="str">
            <v>731812X</v>
          </cell>
          <cell r="AN134" t="str">
            <v>BPMA</v>
          </cell>
          <cell r="AO134" t="str">
            <v>CB</v>
          </cell>
          <cell r="AP134" t="str">
            <v>NATAN</v>
          </cell>
          <cell r="AQ134" t="str">
            <v>NATAN MANOEL BARBOSA E SILVA DAS CHAGAS</v>
          </cell>
        </row>
        <row r="135">
          <cell r="AM135" t="str">
            <v>732040X</v>
          </cell>
          <cell r="AN135" t="str">
            <v>BPMA</v>
          </cell>
          <cell r="AO135" t="str">
            <v>CB</v>
          </cell>
          <cell r="AP135" t="str">
            <v>HENRIQUE CRUZ</v>
          </cell>
          <cell r="AQ135" t="str">
            <v>CARLOS HENRIQUE CRUZ DE QUEIROZ</v>
          </cell>
        </row>
        <row r="136">
          <cell r="AM136">
            <v>7329539</v>
          </cell>
          <cell r="AN136" t="str">
            <v>BPMA</v>
          </cell>
          <cell r="AO136" t="str">
            <v>SD</v>
          </cell>
          <cell r="AP136" t="str">
            <v>JOAO MACIEL</v>
          </cell>
          <cell r="AQ136" t="str">
            <v>JOAO PAULO GONCALVES MACIEL</v>
          </cell>
        </row>
        <row r="137">
          <cell r="AM137">
            <v>7331371</v>
          </cell>
          <cell r="AN137" t="str">
            <v>BPMA</v>
          </cell>
          <cell r="AO137" t="str">
            <v>SD</v>
          </cell>
          <cell r="AP137" t="str">
            <v>ERICK SILVA</v>
          </cell>
          <cell r="AQ137" t="str">
            <v>ERICK SILVA RODRIGUES</v>
          </cell>
        </row>
        <row r="138">
          <cell r="AM138">
            <v>7356951</v>
          </cell>
          <cell r="AN138" t="str">
            <v>BPMA</v>
          </cell>
          <cell r="AO138" t="str">
            <v>SD</v>
          </cell>
          <cell r="AP138" t="str">
            <v>ZILMARA</v>
          </cell>
          <cell r="AQ138" t="str">
            <v>ZILMARA HERMETA MELO DE OLIVEIRA</v>
          </cell>
        </row>
        <row r="139">
          <cell r="AM139">
            <v>7330154</v>
          </cell>
          <cell r="AN139" t="str">
            <v>BPMA</v>
          </cell>
          <cell r="AO139" t="str">
            <v>SD</v>
          </cell>
          <cell r="AP139" t="str">
            <v>H. ALCANTARA</v>
          </cell>
          <cell r="AQ139" t="str">
            <v>HUGGO DE ALCANTARA BARROS BUENO</v>
          </cell>
        </row>
        <row r="140">
          <cell r="AM140">
            <v>7329393</v>
          </cell>
          <cell r="AN140" t="str">
            <v>BPMA</v>
          </cell>
          <cell r="AO140" t="str">
            <v>SD</v>
          </cell>
          <cell r="AP140" t="str">
            <v>DENIS BONFIM</v>
          </cell>
          <cell r="AQ140" t="str">
            <v>DENIS DE SOUZA BONFIM</v>
          </cell>
        </row>
        <row r="141">
          <cell r="AM141">
            <v>7325770</v>
          </cell>
          <cell r="AN141" t="str">
            <v>BPMA</v>
          </cell>
          <cell r="AO141" t="str">
            <v>SD</v>
          </cell>
          <cell r="AP141" t="str">
            <v>MILAGRE</v>
          </cell>
          <cell r="AQ141" t="str">
            <v>GUILHERME MILAGRE NETO GUIMARAES</v>
          </cell>
        </row>
        <row r="142">
          <cell r="AM142">
            <v>7326645</v>
          </cell>
          <cell r="AN142" t="str">
            <v>BPMA</v>
          </cell>
          <cell r="AO142" t="str">
            <v>SD</v>
          </cell>
          <cell r="AP142" t="str">
            <v>VIVIANE RODRIGUES</v>
          </cell>
          <cell r="AQ142" t="str">
            <v>VIVIANE RODRIGUES DA SILVA</v>
          </cell>
        </row>
        <row r="143">
          <cell r="AM143">
            <v>7327927</v>
          </cell>
          <cell r="AN143" t="str">
            <v>BPMA</v>
          </cell>
          <cell r="AO143" t="str">
            <v>SD</v>
          </cell>
          <cell r="AP143" t="str">
            <v>LUIZ SOUZA</v>
          </cell>
          <cell r="AQ143" t="str">
            <v>BRENO LUIZ DE SOUZA E SILVA FRANÇA</v>
          </cell>
        </row>
        <row r="144">
          <cell r="AM144">
            <v>7327013</v>
          </cell>
          <cell r="AN144" t="str">
            <v>BPMA</v>
          </cell>
          <cell r="AO144" t="str">
            <v>SD</v>
          </cell>
          <cell r="AP144" t="str">
            <v>E. MACHADO</v>
          </cell>
          <cell r="AQ144" t="str">
            <v>EVELIZE DE BRITO MACHADO</v>
          </cell>
        </row>
        <row r="145">
          <cell r="AM145">
            <v>506753</v>
          </cell>
          <cell r="AN145" t="str">
            <v>BPR</v>
          </cell>
          <cell r="AO145" t="str">
            <v>MAJ</v>
          </cell>
          <cell r="AP145" t="str">
            <v>ADAUTON SANTANA</v>
          </cell>
          <cell r="AQ145" t="str">
            <v>ADAUTON SANTANA DA CONCEICAO</v>
          </cell>
        </row>
        <row r="146">
          <cell r="AM146">
            <v>508918</v>
          </cell>
          <cell r="AN146" t="str">
            <v>BPR</v>
          </cell>
          <cell r="AO146" t="str">
            <v>CAP</v>
          </cell>
          <cell r="AP146" t="str">
            <v>RAFAEL CUNHA</v>
          </cell>
          <cell r="AQ146" t="str">
            <v>RAFAEL BRANQUINHO DA CUNHA</v>
          </cell>
        </row>
        <row r="147">
          <cell r="AM147">
            <v>727776</v>
          </cell>
          <cell r="AN147" t="str">
            <v>BPR</v>
          </cell>
          <cell r="AO147" t="str">
            <v>CAP</v>
          </cell>
          <cell r="AP147" t="str">
            <v>NATANAEL</v>
          </cell>
          <cell r="AQ147" t="str">
            <v>NATANAEL MARCAL DE SOUSA</v>
          </cell>
        </row>
        <row r="148">
          <cell r="AM148">
            <v>201944</v>
          </cell>
          <cell r="AN148" t="str">
            <v>BPR</v>
          </cell>
          <cell r="AO148" t="str">
            <v>CAP</v>
          </cell>
          <cell r="AP148" t="str">
            <v>WEGRISON</v>
          </cell>
          <cell r="AQ148" t="str">
            <v>WEGRISON FRANCISCO DE OLIVEIRA</v>
          </cell>
        </row>
        <row r="149">
          <cell r="AM149">
            <v>238902</v>
          </cell>
          <cell r="AN149" t="str">
            <v>BPR</v>
          </cell>
          <cell r="AO149" t="str">
            <v>1º TEN</v>
          </cell>
          <cell r="AP149" t="str">
            <v>REGILSON</v>
          </cell>
          <cell r="AQ149" t="str">
            <v>REGILSON GOMES DA SILVA</v>
          </cell>
        </row>
        <row r="150">
          <cell r="AM150">
            <v>7307950</v>
          </cell>
          <cell r="AN150" t="str">
            <v>BPR</v>
          </cell>
          <cell r="AO150" t="str">
            <v>1º TEN</v>
          </cell>
          <cell r="AP150" t="str">
            <v>LOUZEIRO</v>
          </cell>
          <cell r="AQ150" t="str">
            <v>RAIMUNDO ANTONIO LOUZEIRO FERREIRA</v>
          </cell>
        </row>
        <row r="151">
          <cell r="AM151" t="str">
            <v>195881X</v>
          </cell>
          <cell r="AN151" t="str">
            <v>BPR</v>
          </cell>
          <cell r="AO151" t="str">
            <v>1º TEN</v>
          </cell>
          <cell r="AP151" t="str">
            <v>ALVARO</v>
          </cell>
          <cell r="AQ151" t="str">
            <v>ALVARO MOTA SANTANA</v>
          </cell>
        </row>
        <row r="152">
          <cell r="AM152">
            <v>219193</v>
          </cell>
          <cell r="AN152" t="str">
            <v>BPR</v>
          </cell>
          <cell r="AO152" t="str">
            <v>ST</v>
          </cell>
          <cell r="AP152" t="str">
            <v>MARCELO TOMAS</v>
          </cell>
          <cell r="AQ152" t="str">
            <v>MARCELO TOMAS DE OLIVEIRA</v>
          </cell>
        </row>
        <row r="153">
          <cell r="AM153">
            <v>220337</v>
          </cell>
          <cell r="AN153" t="str">
            <v>BPR</v>
          </cell>
          <cell r="AO153" t="str">
            <v>ST</v>
          </cell>
          <cell r="AP153" t="str">
            <v>AGAMENON VIEIRA</v>
          </cell>
          <cell r="AQ153" t="str">
            <v>AGAMENON VIEIRA DO NASCIMENTO</v>
          </cell>
        </row>
        <row r="154">
          <cell r="AM154">
            <v>219592</v>
          </cell>
          <cell r="AN154" t="str">
            <v>BPR</v>
          </cell>
          <cell r="AO154" t="str">
            <v>ST</v>
          </cell>
          <cell r="AP154" t="str">
            <v>LUIZ SILVA</v>
          </cell>
          <cell r="AQ154" t="str">
            <v>LUIZ PEREIRA DA SILVA</v>
          </cell>
        </row>
        <row r="155">
          <cell r="AM155" t="str">
            <v>12740X</v>
          </cell>
          <cell r="AN155" t="str">
            <v>BPR</v>
          </cell>
          <cell r="AO155" t="str">
            <v>ST</v>
          </cell>
          <cell r="AP155" t="str">
            <v>PAULO ALMEIDA</v>
          </cell>
          <cell r="AQ155" t="str">
            <v>PAULO ROBERTO ALMEIDA DOS SANTOS</v>
          </cell>
        </row>
        <row r="156">
          <cell r="AM156">
            <v>221643</v>
          </cell>
          <cell r="AN156" t="str">
            <v>BPR</v>
          </cell>
          <cell r="AO156" t="str">
            <v>ST</v>
          </cell>
          <cell r="AP156" t="str">
            <v>MOHAMMAD</v>
          </cell>
          <cell r="AQ156" t="str">
            <v>MARDI MOHAMMAD SAHORI</v>
          </cell>
        </row>
        <row r="157">
          <cell r="AM157">
            <v>214590</v>
          </cell>
          <cell r="AN157" t="str">
            <v>BPR</v>
          </cell>
          <cell r="AO157" t="str">
            <v>ST</v>
          </cell>
          <cell r="AP157" t="str">
            <v>HAMILTON SANTOS</v>
          </cell>
          <cell r="AQ157" t="str">
            <v>HAMILTON GOULART DOS SANTOS GUTIERRES</v>
          </cell>
        </row>
        <row r="158">
          <cell r="AM158">
            <v>219150</v>
          </cell>
          <cell r="AN158" t="str">
            <v>BPR</v>
          </cell>
          <cell r="AO158" t="str">
            <v>ST</v>
          </cell>
          <cell r="AP158" t="str">
            <v>CAMARA</v>
          </cell>
          <cell r="AQ158" t="str">
            <v>REGISCLAYTON FERREIRA CÂMARA</v>
          </cell>
        </row>
        <row r="159">
          <cell r="AM159">
            <v>186678</v>
          </cell>
          <cell r="AN159" t="str">
            <v>BPR</v>
          </cell>
          <cell r="AO159" t="str">
            <v>ST</v>
          </cell>
          <cell r="AP159" t="str">
            <v>AZEVEDO</v>
          </cell>
          <cell r="AQ159" t="str">
            <v>WILSON SANTOS DE AZEVEDO</v>
          </cell>
        </row>
        <row r="160">
          <cell r="AM160">
            <v>226890</v>
          </cell>
          <cell r="AN160" t="str">
            <v>BPR</v>
          </cell>
          <cell r="AO160" t="str">
            <v>ST</v>
          </cell>
          <cell r="AP160" t="str">
            <v>GENARO</v>
          </cell>
          <cell r="AQ160" t="str">
            <v>GENARO LIVIO DA COSTA VELLOSO</v>
          </cell>
        </row>
        <row r="161">
          <cell r="AM161">
            <v>201936</v>
          </cell>
          <cell r="AN161" t="str">
            <v>BPR</v>
          </cell>
          <cell r="AO161" t="str">
            <v>ST</v>
          </cell>
          <cell r="AP161" t="str">
            <v>SANDRO CORREIA</v>
          </cell>
          <cell r="AQ161" t="str">
            <v>SANDRO CORREIA TRINDADE</v>
          </cell>
        </row>
        <row r="162">
          <cell r="AM162" t="str">
            <v>19588X</v>
          </cell>
          <cell r="AN162" t="str">
            <v>BPR</v>
          </cell>
          <cell r="AO162" t="str">
            <v>ST</v>
          </cell>
          <cell r="AP162" t="str">
            <v>ASSIS SOUSA</v>
          </cell>
          <cell r="AQ162" t="str">
            <v>ASSIS DE SOUSA CANDIDO</v>
          </cell>
        </row>
        <row r="163">
          <cell r="AM163">
            <v>212830</v>
          </cell>
          <cell r="AN163" t="str">
            <v>BPR</v>
          </cell>
          <cell r="AO163" t="str">
            <v>ST</v>
          </cell>
          <cell r="AP163" t="str">
            <v>CLEYTON ALVES</v>
          </cell>
          <cell r="AQ163" t="str">
            <v>CLEYTON ALVES DE OLIVEIRA</v>
          </cell>
        </row>
        <row r="164">
          <cell r="AM164">
            <v>198021</v>
          </cell>
          <cell r="AN164" t="str">
            <v>BPR</v>
          </cell>
          <cell r="AO164" t="str">
            <v>ST</v>
          </cell>
          <cell r="AP164" t="str">
            <v>MARCIO MELO</v>
          </cell>
          <cell r="AQ164" t="str">
            <v>MARCIO ROBERTO SANTOS DE MELO</v>
          </cell>
        </row>
        <row r="165">
          <cell r="AM165">
            <v>201790</v>
          </cell>
          <cell r="AN165" t="str">
            <v>BPR</v>
          </cell>
          <cell r="AO165" t="str">
            <v>1º SGT</v>
          </cell>
          <cell r="AP165" t="str">
            <v>JOABE LOPES</v>
          </cell>
          <cell r="AQ165" t="str">
            <v>FRANCISCO JOABE DE AQUINO LOPES</v>
          </cell>
        </row>
        <row r="166">
          <cell r="AM166">
            <v>132659</v>
          </cell>
          <cell r="AN166" t="str">
            <v>BPR</v>
          </cell>
          <cell r="AO166" t="str">
            <v>1º SGT</v>
          </cell>
          <cell r="AP166" t="str">
            <v>DENNIS</v>
          </cell>
          <cell r="AQ166" t="str">
            <v>DENNIS WILHANS FARIA LOPES</v>
          </cell>
        </row>
        <row r="167">
          <cell r="AM167">
            <v>125261</v>
          </cell>
          <cell r="AN167" t="str">
            <v>BPR</v>
          </cell>
          <cell r="AO167" t="str">
            <v>1º SGT</v>
          </cell>
          <cell r="AP167" t="str">
            <v>MAURICIO</v>
          </cell>
          <cell r="AQ167" t="str">
            <v>AMOSIO TEOTONIO MAURICIO</v>
          </cell>
        </row>
        <row r="168">
          <cell r="AM168">
            <v>221341</v>
          </cell>
          <cell r="AN168" t="str">
            <v>BPR</v>
          </cell>
          <cell r="AO168" t="str">
            <v>1º SGT</v>
          </cell>
          <cell r="AP168" t="str">
            <v>W. SOUZA</v>
          </cell>
          <cell r="AQ168" t="str">
            <v>WALKER SOUZA AMARAL</v>
          </cell>
        </row>
        <row r="169">
          <cell r="AM169">
            <v>228680</v>
          </cell>
          <cell r="AN169" t="str">
            <v>BPR</v>
          </cell>
          <cell r="AO169" t="str">
            <v>1º SGT</v>
          </cell>
          <cell r="AP169" t="str">
            <v>GIL GUERRA</v>
          </cell>
          <cell r="AQ169" t="str">
            <v>GIL GUERRA GONCALVES</v>
          </cell>
        </row>
        <row r="170">
          <cell r="AM170">
            <v>243922</v>
          </cell>
          <cell r="AN170" t="str">
            <v>BPR</v>
          </cell>
          <cell r="AO170" t="str">
            <v>1º SGT</v>
          </cell>
          <cell r="AP170" t="str">
            <v>JADER MELO</v>
          </cell>
          <cell r="AQ170" t="str">
            <v>JADER RODRIGUES ANDRE MELO</v>
          </cell>
        </row>
        <row r="171">
          <cell r="AM171">
            <v>241466</v>
          </cell>
          <cell r="AN171" t="str">
            <v>BPR</v>
          </cell>
          <cell r="AO171" t="str">
            <v>1º SGT</v>
          </cell>
          <cell r="AP171" t="str">
            <v>ATAIDES</v>
          </cell>
          <cell r="AQ171" t="str">
            <v>JOAQUIM SPINDOLA DE ATAIDES FILHO</v>
          </cell>
        </row>
        <row r="172">
          <cell r="AM172">
            <v>187461</v>
          </cell>
          <cell r="AN172" t="str">
            <v>BPR</v>
          </cell>
          <cell r="AO172" t="str">
            <v>1º SGT</v>
          </cell>
          <cell r="AP172" t="str">
            <v>MOURAO</v>
          </cell>
          <cell r="AQ172" t="str">
            <v>FRANCISCO ARNOLDO LINHARES MOURAO</v>
          </cell>
        </row>
        <row r="173">
          <cell r="AM173">
            <v>159247</v>
          </cell>
          <cell r="AN173" t="str">
            <v>BPR</v>
          </cell>
          <cell r="AO173" t="str">
            <v>1º SGT</v>
          </cell>
          <cell r="AP173" t="str">
            <v>JOSE NEIOR</v>
          </cell>
          <cell r="AQ173" t="str">
            <v>JOSE NEIOR FONSECA</v>
          </cell>
        </row>
        <row r="174">
          <cell r="AM174">
            <v>172073</v>
          </cell>
          <cell r="AN174" t="str">
            <v>BPR</v>
          </cell>
          <cell r="AO174" t="str">
            <v>1º SGT</v>
          </cell>
          <cell r="AP174" t="str">
            <v>ALTEMAR CAMPOS</v>
          </cell>
          <cell r="AQ174" t="str">
            <v>ALTEMAR CAMPOS CAVALCANTE</v>
          </cell>
        </row>
        <row r="175">
          <cell r="AM175">
            <v>175420</v>
          </cell>
          <cell r="AN175" t="str">
            <v>BPR</v>
          </cell>
          <cell r="AO175" t="str">
            <v>1º SGT</v>
          </cell>
          <cell r="AP175" t="str">
            <v>EVANDRO CABRAL</v>
          </cell>
          <cell r="AQ175" t="str">
            <v>EVANDRO CIRINO CABRAL</v>
          </cell>
        </row>
        <row r="176">
          <cell r="AM176">
            <v>174645</v>
          </cell>
          <cell r="AN176" t="str">
            <v>BPR</v>
          </cell>
          <cell r="AO176" t="str">
            <v>1º SGT</v>
          </cell>
          <cell r="AP176" t="str">
            <v>APARECIDOMAR</v>
          </cell>
          <cell r="AQ176" t="str">
            <v>APARECIDOMAR DE SOUZA PEREIRA</v>
          </cell>
        </row>
        <row r="177">
          <cell r="AM177">
            <v>182206</v>
          </cell>
          <cell r="AN177" t="str">
            <v>BPR</v>
          </cell>
          <cell r="AO177" t="str">
            <v>1º SGT</v>
          </cell>
          <cell r="AP177" t="str">
            <v>CARLOS CUNHA</v>
          </cell>
          <cell r="AQ177" t="str">
            <v>CARLOS CUNHA RODRIGUES</v>
          </cell>
        </row>
        <row r="178">
          <cell r="AM178">
            <v>180424</v>
          </cell>
          <cell r="AN178" t="str">
            <v>BPR</v>
          </cell>
          <cell r="AO178" t="str">
            <v>1º SGT</v>
          </cell>
          <cell r="AP178" t="str">
            <v>FABIO RODRIGUES</v>
          </cell>
          <cell r="AQ178" t="str">
            <v>FABIO RODRIGUES DE SOUSA</v>
          </cell>
        </row>
        <row r="179">
          <cell r="AM179">
            <v>187739</v>
          </cell>
          <cell r="AN179" t="str">
            <v>BPR</v>
          </cell>
          <cell r="AO179" t="str">
            <v>1º SGT</v>
          </cell>
          <cell r="AP179" t="str">
            <v>HERMAN</v>
          </cell>
          <cell r="AQ179" t="str">
            <v>BRASIL HERMAN CURADO SILVA</v>
          </cell>
        </row>
        <row r="180">
          <cell r="AM180">
            <v>186465</v>
          </cell>
          <cell r="AN180" t="str">
            <v>BPR</v>
          </cell>
          <cell r="AO180" t="str">
            <v>1º SGT</v>
          </cell>
          <cell r="AP180" t="str">
            <v>JAIR COSTA</v>
          </cell>
          <cell r="AQ180" t="str">
            <v>JAIR COSTA CARVALHO</v>
          </cell>
        </row>
        <row r="181">
          <cell r="AM181">
            <v>187062</v>
          </cell>
          <cell r="AN181" t="str">
            <v>BPR</v>
          </cell>
          <cell r="AO181" t="str">
            <v>1º SGT</v>
          </cell>
          <cell r="AP181" t="str">
            <v>GABRIEL ALVES</v>
          </cell>
          <cell r="AQ181" t="str">
            <v>GABRIEL ALVES DOS SANTOS</v>
          </cell>
        </row>
        <row r="182">
          <cell r="AM182">
            <v>186805</v>
          </cell>
          <cell r="AN182" t="str">
            <v>BPR</v>
          </cell>
          <cell r="AO182" t="str">
            <v>1º SGT</v>
          </cell>
          <cell r="AP182" t="str">
            <v>OTACILIO ALVES</v>
          </cell>
          <cell r="AQ182" t="str">
            <v>OTACILIO ALVES DA SILVA</v>
          </cell>
        </row>
        <row r="183">
          <cell r="AM183">
            <v>185019</v>
          </cell>
          <cell r="AN183" t="str">
            <v>BPR</v>
          </cell>
          <cell r="AO183" t="str">
            <v>1º SGT</v>
          </cell>
          <cell r="AP183" t="str">
            <v>CESAR VIEIRA</v>
          </cell>
          <cell r="AQ183" t="str">
            <v>CARLOS CESAR VIEIRA GOMES</v>
          </cell>
        </row>
        <row r="184">
          <cell r="AM184" t="str">
            <v>18778X</v>
          </cell>
          <cell r="AN184" t="str">
            <v>BPR</v>
          </cell>
          <cell r="AO184" t="str">
            <v>1º SGT</v>
          </cell>
          <cell r="AP184" t="str">
            <v>JESUS MARQUES</v>
          </cell>
          <cell r="AQ184" t="str">
            <v>MARCIO DE JESUS MARQUES</v>
          </cell>
        </row>
        <row r="185">
          <cell r="AM185">
            <v>192465</v>
          </cell>
          <cell r="AN185" t="str">
            <v>BPR</v>
          </cell>
          <cell r="AO185" t="str">
            <v>1º SGT</v>
          </cell>
          <cell r="AP185" t="str">
            <v>PEREIRA DA SILVA</v>
          </cell>
          <cell r="AQ185" t="str">
            <v>JOSE PEREIRA DA SILVA</v>
          </cell>
        </row>
        <row r="186">
          <cell r="AM186">
            <v>197068</v>
          </cell>
          <cell r="AN186" t="str">
            <v>BPR</v>
          </cell>
          <cell r="AO186" t="str">
            <v>1º SGT</v>
          </cell>
          <cell r="AP186" t="str">
            <v>DAMASCENA</v>
          </cell>
          <cell r="AQ186" t="str">
            <v>JOAO BATISTA DAMASCENA</v>
          </cell>
        </row>
        <row r="187">
          <cell r="AM187" t="str">
            <v>19610X</v>
          </cell>
          <cell r="AN187" t="str">
            <v>BPR</v>
          </cell>
          <cell r="AO187" t="str">
            <v>1º SGT</v>
          </cell>
          <cell r="AP187" t="str">
            <v>FLORISVALDO</v>
          </cell>
          <cell r="AQ187" t="str">
            <v>FLORISVALDO ALVES DE SOUZA</v>
          </cell>
        </row>
        <row r="188">
          <cell r="AM188">
            <v>197092</v>
          </cell>
          <cell r="AN188" t="str">
            <v>BPR</v>
          </cell>
          <cell r="AO188" t="str">
            <v>1º SGT</v>
          </cell>
          <cell r="AP188" t="str">
            <v>WALDERSON</v>
          </cell>
          <cell r="AQ188" t="str">
            <v>WALDERSON BARBOSA DE PADUA</v>
          </cell>
        </row>
        <row r="189">
          <cell r="AM189">
            <v>197238</v>
          </cell>
          <cell r="AN189" t="str">
            <v>BPR</v>
          </cell>
          <cell r="AO189" t="str">
            <v>1º SGT</v>
          </cell>
          <cell r="AP189" t="str">
            <v>JOSE ANTONIO</v>
          </cell>
          <cell r="AQ189" t="str">
            <v>JOSE ANTONIO DA SILVA</v>
          </cell>
        </row>
        <row r="190">
          <cell r="AM190">
            <v>202061</v>
          </cell>
          <cell r="AN190" t="str">
            <v>BPR</v>
          </cell>
          <cell r="AO190" t="str">
            <v>2º SGT</v>
          </cell>
          <cell r="AP190" t="str">
            <v>VICENTE MOREIRA</v>
          </cell>
          <cell r="AQ190" t="str">
            <v>VICENTE DE PAULA MOREIRA</v>
          </cell>
        </row>
        <row r="191">
          <cell r="AM191">
            <v>201820</v>
          </cell>
          <cell r="AN191" t="str">
            <v>BPR</v>
          </cell>
          <cell r="AO191" t="str">
            <v>2º SGT</v>
          </cell>
          <cell r="AP191" t="str">
            <v>WELLINGTON ALVES</v>
          </cell>
          <cell r="AQ191" t="str">
            <v>WELLINGTON ALVES DOS SANTOS</v>
          </cell>
        </row>
        <row r="192">
          <cell r="AM192">
            <v>199877</v>
          </cell>
          <cell r="AN192" t="str">
            <v>BPR</v>
          </cell>
          <cell r="AO192" t="str">
            <v>2º SGT</v>
          </cell>
          <cell r="AP192" t="str">
            <v>EDUARDO NETO</v>
          </cell>
          <cell r="AQ192" t="str">
            <v>EDUARDO DOMINGUES DE S NETO</v>
          </cell>
        </row>
        <row r="193">
          <cell r="AM193">
            <v>200239</v>
          </cell>
          <cell r="AN193" t="str">
            <v>BPR</v>
          </cell>
          <cell r="AO193" t="str">
            <v>2º SGT</v>
          </cell>
          <cell r="AP193" t="str">
            <v>FRANCISCO SILVA</v>
          </cell>
          <cell r="AQ193" t="str">
            <v>SINEUVAL FRANCISCO DA SILVA</v>
          </cell>
        </row>
        <row r="194">
          <cell r="AM194">
            <v>242012</v>
          </cell>
          <cell r="AN194" t="str">
            <v>BPR</v>
          </cell>
          <cell r="AO194" t="str">
            <v>2º SGT</v>
          </cell>
          <cell r="AP194" t="str">
            <v>PEDRO</v>
          </cell>
          <cell r="AQ194" t="str">
            <v>ADEMILTO PEDRO ALVES</v>
          </cell>
        </row>
        <row r="195">
          <cell r="AM195">
            <v>238236</v>
          </cell>
          <cell r="AN195" t="str">
            <v>BPR</v>
          </cell>
          <cell r="AO195" t="str">
            <v>2º SGT</v>
          </cell>
          <cell r="AP195" t="str">
            <v>LUCIANO GOMES</v>
          </cell>
          <cell r="AQ195" t="str">
            <v>LUCIANO MARTINS GOMES</v>
          </cell>
        </row>
        <row r="196">
          <cell r="AM196">
            <v>205613</v>
          </cell>
          <cell r="AN196" t="str">
            <v>BPR</v>
          </cell>
          <cell r="AO196" t="str">
            <v>2º SGT</v>
          </cell>
          <cell r="AP196" t="str">
            <v>C. VIEIRA</v>
          </cell>
          <cell r="AQ196" t="str">
            <v>LUIS CARLOS VIEIRA DO NASCIMENTO</v>
          </cell>
        </row>
        <row r="197">
          <cell r="AM197">
            <v>205885</v>
          </cell>
          <cell r="AN197" t="str">
            <v>BPR</v>
          </cell>
          <cell r="AO197" t="str">
            <v>2º SGT</v>
          </cell>
          <cell r="AP197" t="str">
            <v>ROBERTO ALVES</v>
          </cell>
          <cell r="AQ197" t="str">
            <v>JOSE ROBERTO ALVES DE SOUSA</v>
          </cell>
        </row>
        <row r="198">
          <cell r="AM198">
            <v>206725</v>
          </cell>
          <cell r="AN198" t="str">
            <v>BPR</v>
          </cell>
          <cell r="AO198" t="str">
            <v>2º SGT</v>
          </cell>
          <cell r="AP198" t="str">
            <v>ADELSON MOREIRA</v>
          </cell>
          <cell r="AQ198" t="str">
            <v>ADELSON MOREIRA DOS SANTOS</v>
          </cell>
        </row>
        <row r="199">
          <cell r="AM199">
            <v>205141</v>
          </cell>
          <cell r="AN199" t="str">
            <v>BPR</v>
          </cell>
          <cell r="AO199" t="str">
            <v>2º SGT</v>
          </cell>
          <cell r="AP199" t="str">
            <v>NONATO EVANGELISTA</v>
          </cell>
          <cell r="AQ199" t="str">
            <v>RAIMUNDO NONATO EVANGELISTA</v>
          </cell>
        </row>
        <row r="200">
          <cell r="AM200">
            <v>205559</v>
          </cell>
          <cell r="AN200" t="str">
            <v>BPR</v>
          </cell>
          <cell r="AO200" t="str">
            <v>2º SGT</v>
          </cell>
          <cell r="AP200" t="str">
            <v>MAURO ROBSON</v>
          </cell>
          <cell r="AQ200" t="str">
            <v>MAURO ROBSON BRASILEIRO</v>
          </cell>
        </row>
        <row r="201">
          <cell r="AM201">
            <v>206350</v>
          </cell>
          <cell r="AN201" t="str">
            <v>BPR</v>
          </cell>
          <cell r="AO201" t="str">
            <v>2º SGT</v>
          </cell>
          <cell r="AP201" t="str">
            <v>FABIO SANCHES</v>
          </cell>
          <cell r="AQ201" t="str">
            <v>FABIO EDER SANCHES</v>
          </cell>
        </row>
        <row r="202">
          <cell r="AM202">
            <v>209481</v>
          </cell>
          <cell r="AN202" t="str">
            <v>BPR</v>
          </cell>
          <cell r="AO202" t="str">
            <v>2º SGT</v>
          </cell>
          <cell r="AP202" t="str">
            <v>GUIMARAES RIBEIRO</v>
          </cell>
          <cell r="AQ202" t="str">
            <v>JOSE GUIMARAES RIBEIRO</v>
          </cell>
        </row>
        <row r="203">
          <cell r="AM203">
            <v>211141</v>
          </cell>
          <cell r="AN203" t="str">
            <v>BPR</v>
          </cell>
          <cell r="AO203" t="str">
            <v>2º SGT</v>
          </cell>
          <cell r="AP203" t="str">
            <v>ALAN MARQUES</v>
          </cell>
          <cell r="AQ203" t="str">
            <v>ALAN MARQUES SANTANA</v>
          </cell>
        </row>
        <row r="204">
          <cell r="AM204">
            <v>209325</v>
          </cell>
          <cell r="AN204" t="str">
            <v>BPR</v>
          </cell>
          <cell r="AO204" t="str">
            <v>2º SGT</v>
          </cell>
          <cell r="AP204" t="str">
            <v>ALBERTO RAMOS</v>
          </cell>
          <cell r="AQ204" t="str">
            <v>MARCOS ALBERTO RAMOS DA SILVA</v>
          </cell>
        </row>
        <row r="205">
          <cell r="AM205">
            <v>208493</v>
          </cell>
          <cell r="AN205" t="str">
            <v>BPR</v>
          </cell>
          <cell r="AO205" t="str">
            <v>2º SGT</v>
          </cell>
          <cell r="AP205" t="str">
            <v>ISRAEL VIEIRA</v>
          </cell>
          <cell r="AQ205" t="str">
            <v>ISRAEL JOSE VIEIRA</v>
          </cell>
        </row>
        <row r="206">
          <cell r="AM206">
            <v>212482</v>
          </cell>
          <cell r="AN206" t="str">
            <v>BPR</v>
          </cell>
          <cell r="AO206" t="str">
            <v>2º SGT</v>
          </cell>
          <cell r="AP206" t="str">
            <v>PINETTI</v>
          </cell>
          <cell r="AQ206" t="str">
            <v>FERNANDO MARCOS PINETTI</v>
          </cell>
        </row>
        <row r="207">
          <cell r="AM207">
            <v>212490</v>
          </cell>
          <cell r="AN207" t="str">
            <v>BPR</v>
          </cell>
          <cell r="AO207" t="str">
            <v>2º SGT</v>
          </cell>
          <cell r="AP207" t="str">
            <v>MARTINS GOMES</v>
          </cell>
          <cell r="AQ207" t="str">
            <v>MARCOS PAULO MARTINS GOMES</v>
          </cell>
        </row>
        <row r="208">
          <cell r="AM208">
            <v>212857</v>
          </cell>
          <cell r="AN208" t="str">
            <v>BPR</v>
          </cell>
          <cell r="AO208" t="str">
            <v>2º SGT</v>
          </cell>
          <cell r="AP208" t="str">
            <v>GEILTO BRITO</v>
          </cell>
          <cell r="AQ208" t="str">
            <v>GEILTO TAVARES DE BRITO</v>
          </cell>
        </row>
        <row r="209">
          <cell r="AM209">
            <v>215236</v>
          </cell>
          <cell r="AN209" t="str">
            <v>BPR</v>
          </cell>
          <cell r="AO209" t="str">
            <v>2º SGT</v>
          </cell>
          <cell r="AP209" t="str">
            <v>DAIRO CASTRO</v>
          </cell>
          <cell r="AQ209" t="str">
            <v>DAIRO JOSE DE CASTRO</v>
          </cell>
        </row>
        <row r="210">
          <cell r="AM210">
            <v>214558</v>
          </cell>
          <cell r="AN210" t="str">
            <v>BPR</v>
          </cell>
          <cell r="AO210" t="str">
            <v>2º SGT</v>
          </cell>
          <cell r="AP210" t="str">
            <v>RONEI</v>
          </cell>
          <cell r="AQ210" t="str">
            <v>RONEI JOSE DA SILVA VIANA</v>
          </cell>
        </row>
        <row r="211">
          <cell r="AM211">
            <v>217573</v>
          </cell>
          <cell r="AN211" t="str">
            <v>BPR</v>
          </cell>
          <cell r="AO211" t="str">
            <v>2º SGT</v>
          </cell>
          <cell r="AP211" t="str">
            <v>OLIVEIRA VELOSO</v>
          </cell>
          <cell r="AQ211" t="str">
            <v>CARLOS PAULO DE OLIVEIRA VELOSO</v>
          </cell>
        </row>
        <row r="212">
          <cell r="AM212">
            <v>219576</v>
          </cell>
          <cell r="AN212" t="str">
            <v>BPR</v>
          </cell>
          <cell r="AO212" t="str">
            <v>2º SGT</v>
          </cell>
          <cell r="AP212" t="str">
            <v>KLEBER COSTA</v>
          </cell>
          <cell r="AQ212" t="str">
            <v>RENATO KLEBER DA COSTA</v>
          </cell>
        </row>
        <row r="213">
          <cell r="AM213">
            <v>221287</v>
          </cell>
          <cell r="AN213" t="str">
            <v>BPR</v>
          </cell>
          <cell r="AO213" t="str">
            <v>2º SGT</v>
          </cell>
          <cell r="AP213" t="str">
            <v>L. MOREIRA</v>
          </cell>
          <cell r="AQ213" t="str">
            <v>LUCIANO MOREIRA DA COSTA</v>
          </cell>
        </row>
        <row r="214">
          <cell r="AM214">
            <v>218189</v>
          </cell>
          <cell r="AN214" t="str">
            <v>BPR</v>
          </cell>
          <cell r="AO214" t="str">
            <v>2º SGT</v>
          </cell>
          <cell r="AP214" t="str">
            <v>GILMAR PEREIRA</v>
          </cell>
          <cell r="AQ214" t="str">
            <v>GILMAR PEREIRA SANTANA</v>
          </cell>
        </row>
        <row r="215">
          <cell r="AM215">
            <v>220957</v>
          </cell>
          <cell r="AN215" t="str">
            <v>BPR</v>
          </cell>
          <cell r="AO215" t="str">
            <v>2º SGT</v>
          </cell>
          <cell r="AP215" t="str">
            <v>CAMPELO</v>
          </cell>
          <cell r="AQ215" t="str">
            <v>MARCOS AURELIO CAMPELO FERREIRA</v>
          </cell>
        </row>
        <row r="216">
          <cell r="AM216">
            <v>222860</v>
          </cell>
          <cell r="AN216" t="str">
            <v>BPR</v>
          </cell>
          <cell r="AO216" t="str">
            <v>2º SGT</v>
          </cell>
          <cell r="AP216" t="str">
            <v>CLEUDO ARAUJO</v>
          </cell>
          <cell r="AQ216" t="str">
            <v>CLEUDO ARAUJO GOMES</v>
          </cell>
        </row>
        <row r="217">
          <cell r="AM217">
            <v>223166</v>
          </cell>
          <cell r="AN217" t="str">
            <v>BPR</v>
          </cell>
          <cell r="AO217" t="str">
            <v>2º SGT</v>
          </cell>
          <cell r="AP217" t="str">
            <v>ROBERTO MONTEIRO</v>
          </cell>
          <cell r="AQ217" t="str">
            <v>MARCELO ROBERTO DA SILVA MONTEIRO</v>
          </cell>
        </row>
        <row r="218">
          <cell r="AM218">
            <v>225339</v>
          </cell>
          <cell r="AN218" t="str">
            <v>BPR</v>
          </cell>
          <cell r="AO218" t="str">
            <v>2º SGT</v>
          </cell>
          <cell r="AP218" t="str">
            <v>GILCEMAR</v>
          </cell>
          <cell r="AQ218" t="str">
            <v>GILCEMAR BARBOSA DE JESUS</v>
          </cell>
        </row>
        <row r="219">
          <cell r="AM219">
            <v>225630</v>
          </cell>
          <cell r="AN219" t="str">
            <v>BPR</v>
          </cell>
          <cell r="AO219" t="str">
            <v>2º SGT</v>
          </cell>
          <cell r="AP219" t="str">
            <v>RAVENON</v>
          </cell>
          <cell r="AQ219" t="str">
            <v>CLAUDIO RAVENON M DE ARAUJO</v>
          </cell>
        </row>
        <row r="220">
          <cell r="AM220">
            <v>222836</v>
          </cell>
          <cell r="AN220" t="str">
            <v>BPR</v>
          </cell>
          <cell r="AO220" t="str">
            <v>2º SGT</v>
          </cell>
          <cell r="AP220" t="str">
            <v>KLEBIO VELOSO</v>
          </cell>
          <cell r="AQ220" t="str">
            <v>KLEBIO VELOSO DOS SANTOS</v>
          </cell>
        </row>
        <row r="221">
          <cell r="AM221">
            <v>223328</v>
          </cell>
          <cell r="AN221" t="str">
            <v>BPR</v>
          </cell>
          <cell r="AO221" t="str">
            <v>2º SGT</v>
          </cell>
          <cell r="AP221" t="str">
            <v>MAMEDIO</v>
          </cell>
          <cell r="AQ221" t="str">
            <v>LOURIVAL MAMEDIO ARAUJO FILHO</v>
          </cell>
        </row>
        <row r="222">
          <cell r="AM222">
            <v>224154</v>
          </cell>
          <cell r="AN222" t="str">
            <v>BPR</v>
          </cell>
          <cell r="AO222" t="str">
            <v>2º SGT</v>
          </cell>
          <cell r="AP222" t="str">
            <v>DIOMAR</v>
          </cell>
          <cell r="AQ222" t="str">
            <v>DIOMAR JOSE DA SILVA</v>
          </cell>
        </row>
        <row r="223">
          <cell r="AM223">
            <v>225517</v>
          </cell>
          <cell r="AN223" t="str">
            <v>BPR</v>
          </cell>
          <cell r="AO223" t="str">
            <v>2º SGT</v>
          </cell>
          <cell r="AP223" t="str">
            <v>INACIO FERREIRA</v>
          </cell>
          <cell r="AQ223" t="str">
            <v>JULIO CESAR INACIO FERREIRA</v>
          </cell>
        </row>
        <row r="224">
          <cell r="AM224">
            <v>222399</v>
          </cell>
          <cell r="AN224" t="str">
            <v>BPR</v>
          </cell>
          <cell r="AO224" t="str">
            <v>2º SGT</v>
          </cell>
          <cell r="AP224" t="str">
            <v>MAURO MENDES</v>
          </cell>
          <cell r="AQ224" t="str">
            <v>MAURO HENRIQUE MENDES</v>
          </cell>
        </row>
        <row r="225">
          <cell r="AM225">
            <v>222828</v>
          </cell>
          <cell r="AN225" t="str">
            <v>BPR</v>
          </cell>
          <cell r="AO225" t="str">
            <v>2º SGT</v>
          </cell>
          <cell r="AP225" t="str">
            <v>IVANILDO</v>
          </cell>
          <cell r="AQ225" t="str">
            <v>IVANILDO ALVES DA SILVA</v>
          </cell>
        </row>
        <row r="226">
          <cell r="AM226">
            <v>222747</v>
          </cell>
          <cell r="AN226" t="str">
            <v>BPR</v>
          </cell>
          <cell r="AO226" t="str">
            <v>2º SGT</v>
          </cell>
          <cell r="AP226" t="str">
            <v>BERALDO</v>
          </cell>
          <cell r="AQ226" t="str">
            <v>RONEI PEREIRA BERALDO</v>
          </cell>
        </row>
        <row r="227">
          <cell r="AM227" t="str">
            <v>22572X</v>
          </cell>
          <cell r="AN227" t="str">
            <v>BPR</v>
          </cell>
          <cell r="AO227" t="str">
            <v>2º SGT</v>
          </cell>
          <cell r="AP227" t="str">
            <v>MACIEL NETO</v>
          </cell>
          <cell r="AQ227" t="str">
            <v>JUSTO FRANCISCO MACIEL NETO</v>
          </cell>
        </row>
        <row r="228">
          <cell r="AM228" t="str">
            <v>22569X</v>
          </cell>
          <cell r="AN228" t="str">
            <v>BPR</v>
          </cell>
          <cell r="AO228" t="str">
            <v>2º SGT</v>
          </cell>
          <cell r="AP228" t="str">
            <v>LANGKAMER RODRIGUES</v>
          </cell>
          <cell r="AQ228" t="str">
            <v>CARLOS RENATO LANGKAMER RODRIGUES</v>
          </cell>
        </row>
        <row r="229">
          <cell r="AM229">
            <v>228095</v>
          </cell>
          <cell r="AN229" t="str">
            <v>BPR</v>
          </cell>
          <cell r="AO229" t="str">
            <v>2º SGT</v>
          </cell>
          <cell r="AP229" t="str">
            <v>BELARMINO</v>
          </cell>
          <cell r="AQ229" t="str">
            <v>AETSONCLEI BELARMINO ALMEIDA SILVA</v>
          </cell>
        </row>
        <row r="230">
          <cell r="AM230">
            <v>228184</v>
          </cell>
          <cell r="AN230" t="str">
            <v>BPR</v>
          </cell>
          <cell r="AO230" t="str">
            <v>2º SGT</v>
          </cell>
          <cell r="AP230" t="str">
            <v>VAGNER CASTRO</v>
          </cell>
          <cell r="AQ230" t="str">
            <v>VAGNER DE CASTRO SILVA</v>
          </cell>
        </row>
        <row r="231">
          <cell r="AM231">
            <v>227250</v>
          </cell>
          <cell r="AN231" t="str">
            <v>BPR</v>
          </cell>
          <cell r="AO231" t="str">
            <v>2º SGT</v>
          </cell>
          <cell r="AP231" t="str">
            <v>AILTON MOREIRA</v>
          </cell>
          <cell r="AQ231" t="str">
            <v>AILTON MOREIRA DOS SANTOS</v>
          </cell>
        </row>
        <row r="232">
          <cell r="AM232" t="str">
            <v>22636X</v>
          </cell>
          <cell r="AN232" t="str">
            <v>BPR</v>
          </cell>
          <cell r="AO232" t="str">
            <v>2º SGT</v>
          </cell>
          <cell r="AP232" t="str">
            <v>CLECIO ARAUJO</v>
          </cell>
          <cell r="AQ232" t="str">
            <v>CLECIO ARAUJO LOPES</v>
          </cell>
        </row>
        <row r="233">
          <cell r="AM233">
            <v>228613</v>
          </cell>
          <cell r="AN233" t="str">
            <v>BPR</v>
          </cell>
          <cell r="AO233" t="str">
            <v>2º SGT</v>
          </cell>
          <cell r="AP233" t="str">
            <v>WILSON SOUZA</v>
          </cell>
          <cell r="AQ233" t="str">
            <v>WILSON RUFINO DE SOUZA</v>
          </cell>
        </row>
        <row r="234">
          <cell r="AM234">
            <v>228257</v>
          </cell>
          <cell r="AN234" t="str">
            <v>BPR</v>
          </cell>
          <cell r="AO234" t="str">
            <v>2º SGT</v>
          </cell>
          <cell r="AP234" t="str">
            <v>EVERTON MUNIZ</v>
          </cell>
          <cell r="AQ234" t="str">
            <v>EVERTON DA SILVA MUNIZ</v>
          </cell>
        </row>
        <row r="235">
          <cell r="AM235">
            <v>227005</v>
          </cell>
          <cell r="AN235" t="str">
            <v>BPR</v>
          </cell>
          <cell r="AO235" t="str">
            <v>2º SGT</v>
          </cell>
          <cell r="AP235" t="str">
            <v>FABIO CRUZ</v>
          </cell>
          <cell r="AQ235" t="str">
            <v>FABIO SILVA DA CRUZ</v>
          </cell>
        </row>
        <row r="236">
          <cell r="AM236">
            <v>230170</v>
          </cell>
          <cell r="AN236" t="str">
            <v>BPR</v>
          </cell>
          <cell r="AO236" t="str">
            <v>2º SGT</v>
          </cell>
          <cell r="AP236" t="str">
            <v>TRIUNFO</v>
          </cell>
          <cell r="AQ236" t="str">
            <v>LEONARDO TRIUNFO LEITAO</v>
          </cell>
        </row>
        <row r="237">
          <cell r="AM237">
            <v>230022</v>
          </cell>
          <cell r="AN237" t="str">
            <v>BPR</v>
          </cell>
          <cell r="AO237" t="str">
            <v>2º SGT</v>
          </cell>
          <cell r="AP237" t="str">
            <v>RUBSLEIDE</v>
          </cell>
          <cell r="AQ237" t="str">
            <v>RUBSLEIDE RAMOS LOPES</v>
          </cell>
        </row>
        <row r="238">
          <cell r="AM238">
            <v>240044</v>
          </cell>
          <cell r="AN238" t="str">
            <v>BPR</v>
          </cell>
          <cell r="AO238" t="str">
            <v>2º SGT</v>
          </cell>
          <cell r="AP238" t="str">
            <v>TIAGO VIEIRA</v>
          </cell>
          <cell r="AQ238" t="str">
            <v>TIAGO VIEIRA DA SILVA</v>
          </cell>
        </row>
        <row r="239">
          <cell r="AM239">
            <v>241334</v>
          </cell>
          <cell r="AN239" t="str">
            <v>BPR</v>
          </cell>
          <cell r="AO239" t="str">
            <v>2º SGT</v>
          </cell>
          <cell r="AP239" t="str">
            <v>JESSE CLEITON</v>
          </cell>
          <cell r="AQ239" t="str">
            <v>JESSE CLEITON SANTANA DE OLIVEIRA</v>
          </cell>
        </row>
        <row r="240">
          <cell r="AM240">
            <v>241784</v>
          </cell>
          <cell r="AN240" t="str">
            <v>BPR</v>
          </cell>
          <cell r="AO240" t="str">
            <v>3º SGT</v>
          </cell>
          <cell r="AP240" t="str">
            <v>GUALBERTO SANTOS</v>
          </cell>
          <cell r="AQ240" t="str">
            <v>JOSE DE RIBAMAR GUALBERTO DOS SANTOS</v>
          </cell>
        </row>
        <row r="241">
          <cell r="AM241">
            <v>737003</v>
          </cell>
          <cell r="AN241" t="str">
            <v>BPR</v>
          </cell>
          <cell r="AO241" t="str">
            <v>3º SGT</v>
          </cell>
          <cell r="AP241" t="str">
            <v>MIRHOM</v>
          </cell>
          <cell r="AQ241" t="str">
            <v>FABIO DOS SANTOS MIRHOM</v>
          </cell>
        </row>
        <row r="242">
          <cell r="AM242">
            <v>240877</v>
          </cell>
          <cell r="AN242" t="str">
            <v>BPR</v>
          </cell>
          <cell r="AO242" t="str">
            <v>3º SGT</v>
          </cell>
          <cell r="AP242" t="str">
            <v>WENDERSON ALMEIDA</v>
          </cell>
          <cell r="AQ242" t="str">
            <v>WENDERSON PINTO MARTINS DE ALMEIDA</v>
          </cell>
        </row>
        <row r="243">
          <cell r="AM243">
            <v>237167</v>
          </cell>
          <cell r="AN243" t="str">
            <v>BPR</v>
          </cell>
          <cell r="AO243" t="str">
            <v>3º SGT</v>
          </cell>
          <cell r="AP243" t="str">
            <v>LEONARDO CORREA</v>
          </cell>
          <cell r="AQ243" t="str">
            <v>LEONARDO CORREA DA HORA</v>
          </cell>
        </row>
        <row r="244">
          <cell r="AM244">
            <v>730319</v>
          </cell>
          <cell r="AN244" t="str">
            <v>BPR</v>
          </cell>
          <cell r="AO244" t="str">
            <v>3º SGT</v>
          </cell>
          <cell r="AP244" t="str">
            <v>ANTONIO FABRICIO</v>
          </cell>
          <cell r="AQ244" t="str">
            <v>ANTONIO FABRICIO DO ESPIRITO SANTO</v>
          </cell>
        </row>
        <row r="245">
          <cell r="AM245">
            <v>730963</v>
          </cell>
          <cell r="AN245" t="str">
            <v>BPR</v>
          </cell>
          <cell r="AO245" t="str">
            <v>3º SGT</v>
          </cell>
          <cell r="AP245" t="str">
            <v>EVERTON MELO</v>
          </cell>
          <cell r="AQ245" t="str">
            <v>EVERTON MELO DE CARVALHO</v>
          </cell>
        </row>
        <row r="246">
          <cell r="AM246">
            <v>725897</v>
          </cell>
          <cell r="AN246" t="str">
            <v>BPR</v>
          </cell>
          <cell r="AO246" t="str">
            <v>3º SGT</v>
          </cell>
          <cell r="AP246" t="str">
            <v>THIAGO GOMES</v>
          </cell>
          <cell r="AQ246" t="str">
            <v>THIAGO BERNARDES GOMES</v>
          </cell>
        </row>
        <row r="247">
          <cell r="AM247">
            <v>731811</v>
          </cell>
          <cell r="AN247" t="str">
            <v>BPR</v>
          </cell>
          <cell r="AO247" t="str">
            <v>3º SGT</v>
          </cell>
          <cell r="AP247" t="str">
            <v>LEONARDO CAMARGO</v>
          </cell>
          <cell r="AQ247" t="str">
            <v>LEONARDO CAMARGOS DA SILVA</v>
          </cell>
        </row>
        <row r="248">
          <cell r="AM248">
            <v>732435</v>
          </cell>
          <cell r="AN248" t="str">
            <v>BPR</v>
          </cell>
          <cell r="AO248" t="str">
            <v>3º SGT</v>
          </cell>
          <cell r="AP248" t="str">
            <v>FABIO AMADOR</v>
          </cell>
          <cell r="AQ248" t="str">
            <v>ANTONIO FABIO AMORIM AMADOR</v>
          </cell>
        </row>
        <row r="249">
          <cell r="AM249">
            <v>732451</v>
          </cell>
          <cell r="AN249" t="str">
            <v>BPR</v>
          </cell>
          <cell r="AO249" t="str">
            <v>3º SGT</v>
          </cell>
          <cell r="AP249" t="str">
            <v>KLAYNE</v>
          </cell>
          <cell r="AQ249" t="str">
            <v>JAKS KLAYNE ARAUJO CHAVES COSTA</v>
          </cell>
        </row>
        <row r="250">
          <cell r="AM250">
            <v>730831</v>
          </cell>
          <cell r="AN250" t="str">
            <v>BPR</v>
          </cell>
          <cell r="AO250" t="str">
            <v>3º SGT</v>
          </cell>
          <cell r="AP250" t="str">
            <v>LUCIANO FERNANDES</v>
          </cell>
          <cell r="AQ250" t="str">
            <v>LUCIANO FERNANDES DA SILVA</v>
          </cell>
        </row>
        <row r="251">
          <cell r="AM251">
            <v>733148</v>
          </cell>
          <cell r="AN251" t="str">
            <v>BPR</v>
          </cell>
          <cell r="AO251" t="str">
            <v>3º SGT</v>
          </cell>
          <cell r="AP251" t="str">
            <v>A. CARNEIRO</v>
          </cell>
          <cell r="AQ251" t="str">
            <v>ADAILSON FERNANDES CARNEIRO</v>
          </cell>
        </row>
        <row r="252">
          <cell r="AM252">
            <v>735906</v>
          </cell>
          <cell r="AN252" t="str">
            <v>BPR</v>
          </cell>
          <cell r="AO252" t="str">
            <v>3º SGT</v>
          </cell>
          <cell r="AP252" t="str">
            <v>COSMERSON</v>
          </cell>
          <cell r="AQ252" t="str">
            <v>COSMERSON ALVES MOTA</v>
          </cell>
        </row>
        <row r="253">
          <cell r="AM253">
            <v>736244</v>
          </cell>
          <cell r="AN253" t="str">
            <v>BPR</v>
          </cell>
          <cell r="AO253" t="str">
            <v>3º SGT</v>
          </cell>
          <cell r="AP253" t="str">
            <v>CLAUDIO VASCONCELOS</v>
          </cell>
          <cell r="AQ253" t="str">
            <v>CLAUDIO VASCONCELOS VERAS</v>
          </cell>
        </row>
        <row r="254">
          <cell r="AM254">
            <v>736945</v>
          </cell>
          <cell r="AN254" t="str">
            <v>BPR</v>
          </cell>
          <cell r="AO254" t="str">
            <v>3º SGT</v>
          </cell>
          <cell r="AP254" t="str">
            <v>ELTON ARLINDO</v>
          </cell>
          <cell r="AQ254" t="str">
            <v>ELTON ARLINDO DA SILVA</v>
          </cell>
        </row>
        <row r="255">
          <cell r="AM255">
            <v>743461</v>
          </cell>
          <cell r="AN255" t="str">
            <v>BPR</v>
          </cell>
          <cell r="AO255" t="str">
            <v>3º SGT</v>
          </cell>
          <cell r="AP255" t="str">
            <v>K. FIGUEIREDO</v>
          </cell>
          <cell r="AQ255" t="str">
            <v>KLEBER ANDRADE DE FIGUEIREDO</v>
          </cell>
        </row>
        <row r="256">
          <cell r="AM256">
            <v>738166</v>
          </cell>
          <cell r="AN256" t="str">
            <v>BPR</v>
          </cell>
          <cell r="AO256" t="str">
            <v>3º SGT</v>
          </cell>
          <cell r="AP256" t="str">
            <v>TORRES JUNIOR</v>
          </cell>
          <cell r="AQ256" t="str">
            <v>JOSE PEREIRA TORRES JUNIOR</v>
          </cell>
        </row>
        <row r="257">
          <cell r="AM257">
            <v>738360</v>
          </cell>
          <cell r="AN257" t="str">
            <v>BPR</v>
          </cell>
          <cell r="AO257" t="str">
            <v>3º SGT</v>
          </cell>
          <cell r="AP257" t="str">
            <v>L. SANTOS</v>
          </cell>
          <cell r="AQ257" t="str">
            <v>LUCIANO DOS SANTOS PEREIRA</v>
          </cell>
        </row>
        <row r="258">
          <cell r="AM258">
            <v>738255</v>
          </cell>
          <cell r="AN258" t="str">
            <v>BPR</v>
          </cell>
          <cell r="AO258" t="str">
            <v>3º SGT</v>
          </cell>
          <cell r="AP258" t="str">
            <v>LUCIANO PAULO</v>
          </cell>
          <cell r="AQ258" t="str">
            <v>LUCIANO PAULO DA SILVA</v>
          </cell>
        </row>
        <row r="259">
          <cell r="AM259" t="str">
            <v>74252X</v>
          </cell>
          <cell r="AN259" t="str">
            <v>BPR</v>
          </cell>
          <cell r="AO259" t="str">
            <v>3º SGT</v>
          </cell>
          <cell r="AP259" t="str">
            <v>IVO MARQUES</v>
          </cell>
          <cell r="AQ259" t="str">
            <v>IVO MARQUES DE OLIVEIRA</v>
          </cell>
        </row>
        <row r="260">
          <cell r="AM260" t="str">
            <v>73778X</v>
          </cell>
          <cell r="AN260" t="str">
            <v>BPR</v>
          </cell>
          <cell r="AO260" t="str">
            <v>3º SGT</v>
          </cell>
          <cell r="AP260" t="str">
            <v>HELIO BATISTA</v>
          </cell>
          <cell r="AQ260" t="str">
            <v>HELIO BATISTA DOS SANTOS</v>
          </cell>
        </row>
        <row r="261">
          <cell r="AM261">
            <v>740551</v>
          </cell>
          <cell r="AN261" t="str">
            <v>BPR</v>
          </cell>
          <cell r="AO261" t="str">
            <v>3º SGT</v>
          </cell>
          <cell r="AP261" t="str">
            <v>WENDEL MELO</v>
          </cell>
          <cell r="AQ261" t="str">
            <v>WENDELL GOMES DE MELO</v>
          </cell>
        </row>
        <row r="262">
          <cell r="AM262">
            <v>737488</v>
          </cell>
          <cell r="AN262" t="str">
            <v>BPR</v>
          </cell>
          <cell r="AO262" t="str">
            <v>3º SGT</v>
          </cell>
          <cell r="AP262" t="str">
            <v>HERMOGENES</v>
          </cell>
          <cell r="AQ262" t="str">
            <v>FLAVIO HENRIQUE HERMOGENES DA SILVA</v>
          </cell>
        </row>
        <row r="263">
          <cell r="AM263">
            <v>743437</v>
          </cell>
          <cell r="AN263" t="str">
            <v>BPR</v>
          </cell>
          <cell r="AO263" t="str">
            <v>3º SGT</v>
          </cell>
          <cell r="AP263" t="str">
            <v>KLEBERT</v>
          </cell>
          <cell r="AQ263" t="str">
            <v>KLEBERT DA SILVA MARQUES</v>
          </cell>
        </row>
        <row r="264">
          <cell r="AM264">
            <v>740721</v>
          </cell>
          <cell r="AN264" t="str">
            <v>BPR</v>
          </cell>
          <cell r="AO264" t="str">
            <v>3º SGT</v>
          </cell>
          <cell r="AP264" t="str">
            <v>VALDEMIRO LOPES</v>
          </cell>
          <cell r="AQ264" t="str">
            <v>VALDEMIRO LOPES DA SILVA</v>
          </cell>
        </row>
        <row r="265">
          <cell r="AM265">
            <v>743704</v>
          </cell>
          <cell r="AN265" t="str">
            <v>BPR</v>
          </cell>
          <cell r="AO265" t="str">
            <v>3º SGT</v>
          </cell>
          <cell r="AP265" t="str">
            <v>ALEXANDRINO</v>
          </cell>
          <cell r="AQ265" t="str">
            <v>JOELSON ALEXANDRINO DA SILVA</v>
          </cell>
        </row>
        <row r="266">
          <cell r="AM266" t="str">
            <v>73991X</v>
          </cell>
          <cell r="AN266" t="str">
            <v>BPR</v>
          </cell>
          <cell r="AO266" t="str">
            <v>3º SGT</v>
          </cell>
          <cell r="AP266" t="str">
            <v>MATOS NETO</v>
          </cell>
          <cell r="AQ266" t="str">
            <v>SERGIO JOSE DE MATOS NETO</v>
          </cell>
        </row>
        <row r="267">
          <cell r="AM267">
            <v>1954733</v>
          </cell>
          <cell r="AN267" t="str">
            <v>BPR</v>
          </cell>
          <cell r="AO267" t="str">
            <v>3º SGT</v>
          </cell>
          <cell r="AP267" t="str">
            <v>KLEBER BRITO</v>
          </cell>
          <cell r="AQ267" t="str">
            <v>KLEBER DE BRITO PEREIRA DORNELAS</v>
          </cell>
        </row>
        <row r="268">
          <cell r="AM268">
            <v>1967223</v>
          </cell>
          <cell r="AN268" t="str">
            <v>BPR</v>
          </cell>
          <cell r="AO268" t="str">
            <v>3º SGT</v>
          </cell>
          <cell r="AP268" t="str">
            <v>W. HERMES</v>
          </cell>
          <cell r="AQ268" t="str">
            <v>WALLACE HERMES MENDES</v>
          </cell>
        </row>
        <row r="269">
          <cell r="AM269">
            <v>1968580</v>
          </cell>
          <cell r="AN269" t="str">
            <v>BPR</v>
          </cell>
          <cell r="AO269" t="str">
            <v>3º SGT</v>
          </cell>
          <cell r="AP269" t="str">
            <v>GUIMARAES</v>
          </cell>
          <cell r="AQ269" t="str">
            <v>RENAN FERREIRA GUIMARAES</v>
          </cell>
        </row>
        <row r="270">
          <cell r="AM270">
            <v>1951130</v>
          </cell>
          <cell r="AN270" t="str">
            <v>BPR</v>
          </cell>
          <cell r="AO270" t="str">
            <v>3º SGT</v>
          </cell>
          <cell r="AP270" t="str">
            <v>CLEZIVALDO</v>
          </cell>
          <cell r="AQ270" t="str">
            <v>CLEZIVALDO SANTOS DE OLIVEIRA</v>
          </cell>
        </row>
        <row r="271">
          <cell r="AM271">
            <v>2154188</v>
          </cell>
          <cell r="AN271" t="str">
            <v>BPR</v>
          </cell>
          <cell r="AO271" t="str">
            <v>3º SGT</v>
          </cell>
          <cell r="AP271" t="str">
            <v>E. OLIVEIRA</v>
          </cell>
          <cell r="AQ271" t="str">
            <v>EDIMAR IDELFONSO DE OLIVEIRA</v>
          </cell>
        </row>
        <row r="272">
          <cell r="AM272">
            <v>2152177</v>
          </cell>
          <cell r="AN272" t="str">
            <v>BPR</v>
          </cell>
          <cell r="AO272" t="str">
            <v>3º SGT</v>
          </cell>
          <cell r="AP272" t="str">
            <v>T. FILHO</v>
          </cell>
          <cell r="AQ272" t="str">
            <v>JANOR TOME DE CASTRO FILHO</v>
          </cell>
        </row>
        <row r="273">
          <cell r="AM273">
            <v>1998145</v>
          </cell>
          <cell r="AN273" t="str">
            <v>BPR</v>
          </cell>
          <cell r="AO273" t="str">
            <v>3º SGT</v>
          </cell>
          <cell r="AP273" t="str">
            <v>SILVA COUTO</v>
          </cell>
          <cell r="AQ273" t="str">
            <v>EDUARDO LISBOA DA SILVA COUTO</v>
          </cell>
        </row>
        <row r="274">
          <cell r="AM274">
            <v>2149311</v>
          </cell>
          <cell r="AN274" t="str">
            <v>BPR</v>
          </cell>
          <cell r="AO274" t="str">
            <v>3º SGT</v>
          </cell>
          <cell r="AP274" t="str">
            <v>LEIDYANE</v>
          </cell>
          <cell r="AQ274" t="str">
            <v>LEIDYANE MIRANDA SANTANA BITENCOURT</v>
          </cell>
        </row>
        <row r="275">
          <cell r="AM275">
            <v>2154390</v>
          </cell>
          <cell r="AN275" t="str">
            <v>BPR</v>
          </cell>
          <cell r="AO275" t="str">
            <v>3º SGT</v>
          </cell>
          <cell r="AP275" t="str">
            <v>A. NOGUEIRA</v>
          </cell>
          <cell r="AQ275" t="str">
            <v>ALVARO NOGUEIRA DO NASCIMENTO</v>
          </cell>
        </row>
        <row r="276">
          <cell r="AM276">
            <v>2173514</v>
          </cell>
          <cell r="AN276" t="str">
            <v>BPR</v>
          </cell>
          <cell r="AO276" t="str">
            <v>CB</v>
          </cell>
          <cell r="AP276" t="str">
            <v>WENDER</v>
          </cell>
          <cell r="AQ276" t="str">
            <v>CLESIO WENDER MARQUES DOS ANJOS</v>
          </cell>
        </row>
        <row r="277">
          <cell r="AM277">
            <v>1999974</v>
          </cell>
          <cell r="AN277" t="str">
            <v>BPR</v>
          </cell>
          <cell r="AO277" t="str">
            <v>CB</v>
          </cell>
          <cell r="AP277" t="str">
            <v>JORGE ANDRE</v>
          </cell>
          <cell r="AQ277" t="str">
            <v>JORGE ANDRE BEZERRA XAVIER</v>
          </cell>
        </row>
        <row r="278">
          <cell r="AM278">
            <v>2156180</v>
          </cell>
          <cell r="AN278" t="str">
            <v>BPR</v>
          </cell>
          <cell r="AO278" t="str">
            <v>CB</v>
          </cell>
          <cell r="AP278" t="str">
            <v>E. ROBERTO</v>
          </cell>
          <cell r="AQ278" t="str">
            <v>ELVIS ROBERTO DA CONCEICAO SOARES</v>
          </cell>
        </row>
        <row r="279">
          <cell r="AM279">
            <v>1997998</v>
          </cell>
          <cell r="AN279" t="str">
            <v>BPR</v>
          </cell>
          <cell r="AO279" t="str">
            <v>CB</v>
          </cell>
          <cell r="AP279" t="str">
            <v>DELANO</v>
          </cell>
          <cell r="AQ279" t="str">
            <v>DELANO SILVA TEIXEIRA</v>
          </cell>
        </row>
        <row r="280">
          <cell r="AM280">
            <v>2151162</v>
          </cell>
          <cell r="AN280" t="str">
            <v>BPR</v>
          </cell>
          <cell r="AO280" t="str">
            <v>CB</v>
          </cell>
          <cell r="AP280" t="str">
            <v>WALBIO</v>
          </cell>
          <cell r="AQ280" t="str">
            <v>WALBIO ROSENO DA SILVA</v>
          </cell>
        </row>
        <row r="281">
          <cell r="AM281" t="str">
            <v>215594X</v>
          </cell>
          <cell r="AN281" t="str">
            <v>BPR</v>
          </cell>
          <cell r="AO281" t="str">
            <v>CB</v>
          </cell>
          <cell r="AP281" t="str">
            <v>BERNARDO SILVA</v>
          </cell>
          <cell r="AQ281" t="str">
            <v>CRISTIANO BERNARDO DA SILVA</v>
          </cell>
        </row>
        <row r="282">
          <cell r="AM282">
            <v>2149931</v>
          </cell>
          <cell r="AN282" t="str">
            <v>BPR</v>
          </cell>
          <cell r="AO282" t="str">
            <v>CB</v>
          </cell>
          <cell r="AP282" t="str">
            <v>WELDER</v>
          </cell>
          <cell r="AQ282" t="str">
            <v>WELDER MOREIRA DOS SANTOS</v>
          </cell>
        </row>
        <row r="283">
          <cell r="AM283">
            <v>7322038</v>
          </cell>
          <cell r="AN283" t="str">
            <v>BPR</v>
          </cell>
          <cell r="AO283" t="str">
            <v>CB</v>
          </cell>
          <cell r="AP283" t="str">
            <v>BRENO OLIVEIRA</v>
          </cell>
          <cell r="AQ283" t="str">
            <v>BRENO MARCELINO DE OLIVEIRA</v>
          </cell>
        </row>
        <row r="284">
          <cell r="AM284">
            <v>7321244</v>
          </cell>
          <cell r="AN284" t="str">
            <v>BPR</v>
          </cell>
          <cell r="AO284" t="str">
            <v>CB</v>
          </cell>
          <cell r="AP284" t="str">
            <v>NUNES SILVA</v>
          </cell>
          <cell r="AQ284" t="str">
            <v>WELLIGTON NUNES RODRIGUES SILVA</v>
          </cell>
        </row>
        <row r="285">
          <cell r="AM285">
            <v>7319169</v>
          </cell>
          <cell r="AN285" t="str">
            <v>BPR</v>
          </cell>
          <cell r="AO285" t="str">
            <v>CB</v>
          </cell>
          <cell r="AP285" t="str">
            <v>FERRAZ</v>
          </cell>
          <cell r="AQ285" t="str">
            <v>RAPHAEL CAVALCANTI FERRAZ</v>
          </cell>
        </row>
        <row r="286">
          <cell r="AM286">
            <v>7316852</v>
          </cell>
          <cell r="AN286" t="str">
            <v>BPR</v>
          </cell>
          <cell r="AO286" t="str">
            <v>CB</v>
          </cell>
          <cell r="AP286" t="str">
            <v>ROMAREZ</v>
          </cell>
          <cell r="AQ286" t="str">
            <v>ROMAREZ MUNIZ DE ARAUJO</v>
          </cell>
        </row>
        <row r="287">
          <cell r="AM287">
            <v>7318723</v>
          </cell>
          <cell r="AN287" t="str">
            <v>BPR</v>
          </cell>
          <cell r="AO287" t="str">
            <v>CB</v>
          </cell>
          <cell r="AP287" t="str">
            <v>JORDANO</v>
          </cell>
          <cell r="AQ287" t="str">
            <v>JORDANO DOMINGOS GONCALVES</v>
          </cell>
        </row>
        <row r="288">
          <cell r="AM288">
            <v>7318243</v>
          </cell>
          <cell r="AN288" t="str">
            <v>BPR</v>
          </cell>
          <cell r="AO288" t="str">
            <v>CB</v>
          </cell>
          <cell r="AP288" t="str">
            <v>ELAN</v>
          </cell>
          <cell r="AQ288" t="str">
            <v>ELAN DOS SANTOS NUNES</v>
          </cell>
        </row>
        <row r="289">
          <cell r="AM289">
            <v>7313624</v>
          </cell>
          <cell r="AN289" t="str">
            <v>BPR</v>
          </cell>
          <cell r="AO289" t="str">
            <v>CB</v>
          </cell>
          <cell r="AP289" t="str">
            <v>BRUNA MAGALHAES</v>
          </cell>
          <cell r="AQ289" t="str">
            <v>BRUNA MAGALHAES ROSENO</v>
          </cell>
        </row>
        <row r="290">
          <cell r="AM290">
            <v>7313098</v>
          </cell>
          <cell r="AN290" t="str">
            <v>BPR</v>
          </cell>
          <cell r="AO290" t="str">
            <v>CB</v>
          </cell>
          <cell r="AP290" t="str">
            <v>LAMOUNIER</v>
          </cell>
          <cell r="AQ290" t="str">
            <v>RENATA COELHO LAMOUNIER CAMPELO</v>
          </cell>
        </row>
        <row r="291">
          <cell r="AM291">
            <v>2179113</v>
          </cell>
          <cell r="AN291" t="str">
            <v>BPR</v>
          </cell>
          <cell r="AO291" t="str">
            <v>CB</v>
          </cell>
          <cell r="AP291" t="str">
            <v>VICTOR VIANA</v>
          </cell>
          <cell r="AQ291" t="str">
            <v>VICTOR IGOR VIANA NOGUEIRA</v>
          </cell>
        </row>
        <row r="292">
          <cell r="AM292" t="str">
            <v>732278X</v>
          </cell>
          <cell r="AN292" t="str">
            <v>BPR</v>
          </cell>
          <cell r="AO292" t="str">
            <v>CB</v>
          </cell>
          <cell r="AP292" t="str">
            <v>GARCIA DOURADO</v>
          </cell>
          <cell r="AQ292" t="str">
            <v>JAZER GARCIA DOURADO</v>
          </cell>
        </row>
        <row r="293">
          <cell r="AM293">
            <v>7314256</v>
          </cell>
          <cell r="AN293" t="str">
            <v>BPR</v>
          </cell>
          <cell r="AO293" t="str">
            <v>CB</v>
          </cell>
          <cell r="AP293" t="str">
            <v>MARIANGGELLE</v>
          </cell>
          <cell r="AQ293" t="str">
            <v>MARIANGGELLE PEREIRA LOPES</v>
          </cell>
        </row>
        <row r="294">
          <cell r="AM294">
            <v>7316992</v>
          </cell>
          <cell r="AN294" t="str">
            <v>BPR</v>
          </cell>
          <cell r="AO294" t="str">
            <v>CB</v>
          </cell>
          <cell r="AP294" t="str">
            <v>PINHO</v>
          </cell>
          <cell r="AQ294" t="str">
            <v>BRUNO RICARDO BARROS PINHO ALBUQUERQUE PINHO</v>
          </cell>
        </row>
        <row r="295">
          <cell r="AM295">
            <v>7325657</v>
          </cell>
          <cell r="AN295" t="str">
            <v>BPR</v>
          </cell>
          <cell r="AO295" t="str">
            <v>SD</v>
          </cell>
          <cell r="AP295" t="str">
            <v>CARAPIA</v>
          </cell>
          <cell r="AQ295" t="str">
            <v>GRASIELLE SOARES CARAPIA</v>
          </cell>
        </row>
        <row r="296">
          <cell r="AM296">
            <v>7330529</v>
          </cell>
          <cell r="AN296" t="str">
            <v>BPR</v>
          </cell>
          <cell r="AO296" t="str">
            <v>SD</v>
          </cell>
          <cell r="AP296" t="str">
            <v>BISPO SOUZA</v>
          </cell>
          <cell r="AQ296" t="str">
            <v>SYLAS BISPO DE SANTANNA SOUZA</v>
          </cell>
        </row>
        <row r="297">
          <cell r="AM297">
            <v>7332084</v>
          </cell>
          <cell r="AN297" t="str">
            <v>BPR</v>
          </cell>
          <cell r="AO297" t="str">
            <v>SD</v>
          </cell>
          <cell r="AP297" t="str">
            <v>WELINGTON FILHO</v>
          </cell>
          <cell r="AQ297" t="str">
            <v>WELINGTON ANTONIO DA SILVA FILHO</v>
          </cell>
        </row>
        <row r="298">
          <cell r="AM298">
            <v>7326777</v>
          </cell>
          <cell r="AN298" t="str">
            <v>BPR</v>
          </cell>
          <cell r="AO298" t="str">
            <v>SD</v>
          </cell>
          <cell r="AP298" t="str">
            <v>DAYANE</v>
          </cell>
          <cell r="AQ298" t="str">
            <v>DAYANE RODRIGUES MACHADO</v>
          </cell>
        </row>
        <row r="299">
          <cell r="AM299">
            <v>200050</v>
          </cell>
          <cell r="AO299" t="str">
            <v>ST</v>
          </cell>
          <cell r="AP299" t="str">
            <v>LIMA SILVA</v>
          </cell>
          <cell r="AQ299" t="str">
            <v>MARCELO LIMA DA SILVA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gpol.pm.df.gov.br/sad/pessoal/pesquisa/efeti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C9F8-21C6-4F0B-86E4-125E2FDE9BA4}">
  <dimension ref="A1:I37"/>
  <sheetViews>
    <sheetView tabSelected="1" workbookViewId="0">
      <selection activeCell="K6" sqref="K6"/>
    </sheetView>
  </sheetViews>
  <sheetFormatPr defaultRowHeight="12.75" x14ac:dyDescent="0.2"/>
  <cols>
    <col min="3" max="3" width="36.85546875" bestFit="1" customWidth="1"/>
  </cols>
  <sheetData>
    <row r="1" spans="1:9" x14ac:dyDescent="0.2">
      <c r="A1" s="1" t="s">
        <v>1</v>
      </c>
      <c r="B1" s="1" t="s">
        <v>2</v>
      </c>
      <c r="C1" s="1" t="s">
        <v>32</v>
      </c>
      <c r="D1" s="1" t="s">
        <v>3</v>
      </c>
      <c r="E1" s="1" t="s">
        <v>4</v>
      </c>
      <c r="F1" s="1" t="s">
        <v>5</v>
      </c>
      <c r="G1" s="2"/>
      <c r="H1" s="3"/>
      <c r="I1" s="4" t="s">
        <v>6</v>
      </c>
    </row>
    <row r="2" spans="1:9" x14ac:dyDescent="0.2">
      <c r="A2" s="3"/>
      <c r="B2" s="3"/>
      <c r="C2" s="3"/>
      <c r="D2" s="3"/>
      <c r="E2" s="3"/>
      <c r="F2" s="3"/>
      <c r="G2" s="5"/>
      <c r="H2" s="5"/>
      <c r="I2" s="3"/>
    </row>
    <row r="3" spans="1:9" x14ac:dyDescent="0.2">
      <c r="A3" s="3"/>
      <c r="B3" s="3"/>
      <c r="C3" s="3"/>
      <c r="D3" s="3"/>
      <c r="E3" s="3"/>
      <c r="F3" s="3"/>
      <c r="G3" s="5"/>
      <c r="H3" s="5"/>
      <c r="I3" s="3"/>
    </row>
    <row r="4" spans="1:9" x14ac:dyDescent="0.2">
      <c r="A4" s="3"/>
      <c r="B4" s="3"/>
      <c r="C4" s="3"/>
      <c r="D4" s="3"/>
      <c r="E4" s="3"/>
      <c r="F4" s="3"/>
      <c r="G4" s="5"/>
      <c r="H4" s="5"/>
      <c r="I4" s="3"/>
    </row>
    <row r="5" spans="1:9" x14ac:dyDescent="0.2">
      <c r="A5" s="3"/>
      <c r="B5" s="3"/>
      <c r="C5" s="3"/>
      <c r="D5" s="3"/>
      <c r="E5" s="3"/>
      <c r="F5" s="3"/>
      <c r="G5" s="6" t="s">
        <v>7</v>
      </c>
      <c r="H5" s="6" t="s">
        <v>8</v>
      </c>
      <c r="I5" s="3"/>
    </row>
    <row r="6" spans="1:9" x14ac:dyDescent="0.2">
      <c r="A6" s="7" t="s">
        <v>9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9">
        <v>7318960</v>
      </c>
      <c r="B7" s="10" t="s">
        <v>15</v>
      </c>
      <c r="C7" s="11" t="str">
        <f ca="1">IFERROR(VLOOKUP(A7,[1]FORMULAS!$AM:$AQ,5,0),"")</f>
        <v>DANIEL ANTONIO SIRQUEIRA DIAS</v>
      </c>
      <c r="D7" s="12" t="str">
        <f ca="1">IFERROR(VLOOKUP(A7,[1]FORMULAS!$AM:$AQ,2,0),"")</f>
        <v>BPMA</v>
      </c>
      <c r="E7" s="10">
        <v>2025</v>
      </c>
      <c r="F7" s="10">
        <v>2026</v>
      </c>
      <c r="G7" s="13">
        <v>46025</v>
      </c>
      <c r="H7" s="13">
        <v>46033</v>
      </c>
      <c r="I7" s="14">
        <f t="shared" ref="I7:I35" si="0">IF(G7="","",(H7-G7+1))</f>
        <v>9</v>
      </c>
    </row>
    <row r="8" spans="1:9" x14ac:dyDescent="0.2">
      <c r="A8" s="9">
        <v>738549</v>
      </c>
      <c r="B8" s="10" t="s">
        <v>18</v>
      </c>
      <c r="C8" s="15" t="str">
        <f ca="1">IFERROR(VLOOKUP(A8,[1]FORMULAS!$AM:$AQ,5,0),"")</f>
        <v>MARCEL LARA FERNANDES</v>
      </c>
      <c r="D8" s="10" t="str">
        <f ca="1">IFERROR(VLOOKUP(A8,[1]FORMULAS!$AM:$AQ,2,0),"")</f>
        <v>BPMA</v>
      </c>
      <c r="E8" s="10">
        <v>2025</v>
      </c>
      <c r="F8" s="10">
        <v>2026</v>
      </c>
      <c r="G8" s="13">
        <v>45660</v>
      </c>
      <c r="H8" s="13">
        <v>45672</v>
      </c>
      <c r="I8" s="14">
        <f t="shared" si="0"/>
        <v>13</v>
      </c>
    </row>
    <row r="9" spans="1:9" x14ac:dyDescent="0.2">
      <c r="A9" s="9">
        <v>7391994</v>
      </c>
      <c r="B9" s="10" t="s">
        <v>16</v>
      </c>
      <c r="C9" s="11" t="s">
        <v>28</v>
      </c>
      <c r="D9" s="10" t="s">
        <v>0</v>
      </c>
      <c r="E9" s="10">
        <v>2025</v>
      </c>
      <c r="F9" s="10">
        <v>2026</v>
      </c>
      <c r="G9" s="13">
        <v>45661</v>
      </c>
      <c r="H9" s="13">
        <v>45669</v>
      </c>
      <c r="I9" s="14">
        <f t="shared" si="0"/>
        <v>9</v>
      </c>
    </row>
    <row r="10" spans="1:9" x14ac:dyDescent="0.2">
      <c r="A10" s="9">
        <v>222925</v>
      </c>
      <c r="B10" s="12" t="s">
        <v>18</v>
      </c>
      <c r="C10" s="15" t="str">
        <f ca="1">IFERROR(VLOOKUP(A10,[1]FORMULAS!$AM:$AQ,5,0),"")</f>
        <v>ROBERVAL PAULO DE CASTRO</v>
      </c>
      <c r="D10" s="12" t="str">
        <f ca="1">IFERROR(VLOOKUP(A10,[1]FORMULAS!$AM:$AQ,2,0),"")</f>
        <v>BPMA</v>
      </c>
      <c r="E10" s="10">
        <v>2025</v>
      </c>
      <c r="F10" s="10">
        <v>2026</v>
      </c>
      <c r="G10" s="16">
        <v>46014</v>
      </c>
      <c r="H10" s="16">
        <v>46026</v>
      </c>
      <c r="I10" s="14">
        <f t="shared" si="0"/>
        <v>13</v>
      </c>
    </row>
    <row r="11" spans="1:9" x14ac:dyDescent="0.2">
      <c r="A11" s="9">
        <v>7387369</v>
      </c>
      <c r="B11" s="12" t="s">
        <v>16</v>
      </c>
      <c r="C11" s="15" t="s">
        <v>29</v>
      </c>
      <c r="D11" s="12" t="s">
        <v>0</v>
      </c>
      <c r="E11" s="10">
        <v>2025</v>
      </c>
      <c r="F11" s="10">
        <v>2026</v>
      </c>
      <c r="G11" s="13">
        <v>45663</v>
      </c>
      <c r="H11" s="13">
        <v>45672</v>
      </c>
      <c r="I11" s="14">
        <f t="shared" si="0"/>
        <v>10</v>
      </c>
    </row>
    <row r="12" spans="1:9" x14ac:dyDescent="0.2">
      <c r="A12" s="9">
        <v>1999176</v>
      </c>
      <c r="B12" s="12" t="s">
        <v>10</v>
      </c>
      <c r="C12" s="15" t="str">
        <f ca="1">IFERROR(VLOOKUP(A12,[1]FORMULAS!$AM:$AQ,5,0),"")</f>
        <v>FÁBIO FRANCISCO LAGO PEREIRA</v>
      </c>
      <c r="D12" s="12" t="str">
        <f ca="1">IFERROR(VLOOKUP(A12,[1]FORMULAS!$AM:$AQ,2,0),"")</f>
        <v>BPMA</v>
      </c>
      <c r="E12" s="10">
        <v>2025</v>
      </c>
      <c r="F12" s="10">
        <v>2026</v>
      </c>
      <c r="G12" s="13">
        <v>46034</v>
      </c>
      <c r="H12" s="13">
        <v>46038</v>
      </c>
      <c r="I12" s="14">
        <f t="shared" si="0"/>
        <v>5</v>
      </c>
    </row>
    <row r="13" spans="1:9" x14ac:dyDescent="0.2">
      <c r="A13" s="9">
        <v>739820</v>
      </c>
      <c r="B13" s="12" t="s">
        <v>10</v>
      </c>
      <c r="C13" s="15" t="s">
        <v>11</v>
      </c>
      <c r="D13" s="12" t="s">
        <v>0</v>
      </c>
      <c r="E13" s="10">
        <v>2025</v>
      </c>
      <c r="F13" s="10">
        <v>2026</v>
      </c>
      <c r="G13" s="13">
        <v>46036</v>
      </c>
      <c r="H13" s="13">
        <v>46044</v>
      </c>
      <c r="I13" s="14">
        <f t="shared" si="0"/>
        <v>9</v>
      </c>
    </row>
    <row r="14" spans="1:9" x14ac:dyDescent="0.2">
      <c r="A14" s="9">
        <v>7361580</v>
      </c>
      <c r="B14" s="12" t="s">
        <v>12</v>
      </c>
      <c r="C14" s="15" t="s">
        <v>13</v>
      </c>
      <c r="D14" s="12" t="s">
        <v>0</v>
      </c>
      <c r="E14" s="10">
        <v>2025</v>
      </c>
      <c r="F14" s="10">
        <v>2026</v>
      </c>
      <c r="G14" s="13">
        <v>46043</v>
      </c>
      <c r="H14" s="13">
        <v>46052</v>
      </c>
      <c r="I14" s="14">
        <f t="shared" si="0"/>
        <v>10</v>
      </c>
    </row>
    <row r="15" spans="1:9" x14ac:dyDescent="0.2">
      <c r="A15" s="9">
        <v>7355297</v>
      </c>
      <c r="B15" s="12" t="s">
        <v>12</v>
      </c>
      <c r="C15" s="15" t="s">
        <v>14</v>
      </c>
      <c r="D15" s="12" t="s">
        <v>0</v>
      </c>
      <c r="E15" s="10">
        <v>2025</v>
      </c>
      <c r="F15" s="10">
        <v>2026</v>
      </c>
      <c r="G15" s="13">
        <v>46034</v>
      </c>
      <c r="H15" s="13">
        <v>46043</v>
      </c>
      <c r="I15" s="14">
        <f t="shared" si="0"/>
        <v>10</v>
      </c>
    </row>
    <row r="16" spans="1:9" x14ac:dyDescent="0.2">
      <c r="A16" s="9">
        <v>7316844</v>
      </c>
      <c r="B16" s="12" t="s">
        <v>15</v>
      </c>
      <c r="C16" s="15" t="str">
        <f ca="1">IFERROR(VLOOKUP(A16,[1]FORMULAS!$AM:$AQ,5,0),"")</f>
        <v>WESLEY COUTINHO DE LIMA</v>
      </c>
      <c r="D16" s="12" t="str">
        <f ca="1">IFERROR(VLOOKUP(A16,[1]FORMULAS!$AM:$AQ,2,0),"")</f>
        <v>BPMA</v>
      </c>
      <c r="E16" s="10">
        <v>2025</v>
      </c>
      <c r="F16" s="10">
        <v>2026</v>
      </c>
      <c r="G16" s="13">
        <v>46027</v>
      </c>
      <c r="H16" s="13">
        <v>46036</v>
      </c>
      <c r="I16" s="14">
        <f t="shared" si="0"/>
        <v>10</v>
      </c>
    </row>
    <row r="17" spans="1:9" x14ac:dyDescent="0.2">
      <c r="A17" s="9">
        <v>7383371</v>
      </c>
      <c r="B17" s="12" t="s">
        <v>16</v>
      </c>
      <c r="C17" s="15" t="s">
        <v>17</v>
      </c>
      <c r="D17" s="12" t="s">
        <v>0</v>
      </c>
      <c r="E17" s="10">
        <v>2025</v>
      </c>
      <c r="F17" s="10">
        <v>2026</v>
      </c>
      <c r="G17" s="13">
        <v>46050</v>
      </c>
      <c r="H17" s="13">
        <v>46059</v>
      </c>
      <c r="I17" s="14">
        <f t="shared" si="0"/>
        <v>10</v>
      </c>
    </row>
    <row r="18" spans="1:9" x14ac:dyDescent="0.2">
      <c r="A18" s="9">
        <v>728632</v>
      </c>
      <c r="B18" s="12" t="s">
        <v>18</v>
      </c>
      <c r="C18" s="15" t="s">
        <v>19</v>
      </c>
      <c r="D18" s="12" t="s">
        <v>0</v>
      </c>
      <c r="E18" s="10">
        <v>2025</v>
      </c>
      <c r="F18" s="10">
        <v>2026</v>
      </c>
      <c r="G18" s="13">
        <v>46036</v>
      </c>
      <c r="H18" s="13">
        <v>46045</v>
      </c>
      <c r="I18" s="14">
        <f t="shared" si="0"/>
        <v>10</v>
      </c>
    </row>
    <row r="19" spans="1:9" x14ac:dyDescent="0.2">
      <c r="A19" s="17">
        <v>237388</v>
      </c>
      <c r="B19" s="12" t="s">
        <v>10</v>
      </c>
      <c r="C19" s="15" t="s">
        <v>20</v>
      </c>
      <c r="D19" s="12" t="s">
        <v>0</v>
      </c>
      <c r="E19" s="10">
        <v>2025</v>
      </c>
      <c r="F19" s="10">
        <v>2026</v>
      </c>
      <c r="G19" s="13">
        <v>46035</v>
      </c>
      <c r="H19" s="13">
        <v>46064</v>
      </c>
      <c r="I19" s="14">
        <f t="shared" si="0"/>
        <v>30</v>
      </c>
    </row>
    <row r="20" spans="1:9" x14ac:dyDescent="0.2">
      <c r="A20" s="9">
        <v>244082</v>
      </c>
      <c r="B20" s="12" t="s">
        <v>18</v>
      </c>
      <c r="C20" s="15" t="str">
        <f ca="1">IFERROR(VLOOKUP(A20,[1]FORMULAS!$AM:$AQ,5,0),"")</f>
        <v>LUIZ GERALDO REZENDE</v>
      </c>
      <c r="D20" s="12" t="str">
        <f ca="1">IFERROR(VLOOKUP(A20,[1]FORMULAS!$AM:$AQ,2,0),"")</f>
        <v>BPMA</v>
      </c>
      <c r="E20" s="10">
        <v>2025</v>
      </c>
      <c r="F20" s="10">
        <v>2026</v>
      </c>
      <c r="G20" s="13">
        <v>46052</v>
      </c>
      <c r="H20" s="13">
        <v>46064</v>
      </c>
      <c r="I20" s="14">
        <f t="shared" si="0"/>
        <v>13</v>
      </c>
    </row>
    <row r="21" spans="1:9" x14ac:dyDescent="0.2">
      <c r="A21" s="9">
        <v>239453</v>
      </c>
      <c r="B21" s="10" t="str">
        <f ca="1">IFERROR(VLOOKUP(A21,[1]FORMULAS!$AM:$AQ,3,0),"")</f>
        <v>ST</v>
      </c>
      <c r="C21" s="11" t="str">
        <f ca="1">IFERROR(VLOOKUP(A21,[1]FORMULAS!$AM:$AQ,5,0),"")</f>
        <v>RODNEI TAVARES BARBOSA</v>
      </c>
      <c r="D21" s="10" t="str">
        <f ca="1">IFERROR(VLOOKUP(A21,[1]FORMULAS!$AM:$AQ,2,0),"")</f>
        <v>BPMA</v>
      </c>
      <c r="E21" s="10">
        <v>2025</v>
      </c>
      <c r="F21" s="10">
        <v>2026</v>
      </c>
      <c r="G21" s="13">
        <v>46030</v>
      </c>
      <c r="H21" s="13">
        <v>46045</v>
      </c>
      <c r="I21" s="14">
        <f t="shared" si="0"/>
        <v>16</v>
      </c>
    </row>
    <row r="22" spans="1:9" x14ac:dyDescent="0.2">
      <c r="A22" s="17">
        <v>228915</v>
      </c>
      <c r="B22" s="10" t="s">
        <v>18</v>
      </c>
      <c r="C22" s="11" t="str">
        <f ca="1">IFERROR(VLOOKUP(A22,[1]FORMULAS!$AM:$AQ,5,0),"")</f>
        <v>ISMAEL MOTTA</v>
      </c>
      <c r="D22" s="10" t="str">
        <f ca="1">IFERROR(VLOOKUP(A22,[1]FORMULAS!$AM:$AQ,2,0),"")</f>
        <v>BPMA</v>
      </c>
      <c r="E22" s="10">
        <v>2025</v>
      </c>
      <c r="F22" s="10">
        <v>2026</v>
      </c>
      <c r="G22" s="13">
        <v>46053</v>
      </c>
      <c r="H22" s="13">
        <v>46062</v>
      </c>
      <c r="I22" s="14">
        <f t="shared" si="0"/>
        <v>10</v>
      </c>
    </row>
    <row r="23" spans="1:9" x14ac:dyDescent="0.2">
      <c r="A23" s="9">
        <v>7318561</v>
      </c>
      <c r="B23" s="10" t="s">
        <v>15</v>
      </c>
      <c r="C23" s="11" t="str">
        <f ca="1">IFERROR(VLOOKUP(A23,[1]FORMULAS!$AM:$AQ,5,0),"")</f>
        <v>EDIMILSON MEIRA DOS SANTOS</v>
      </c>
      <c r="D23" s="10" t="str">
        <f ca="1">IFERROR(VLOOKUP(A23,[1]FORMULAS!$AM:$AQ,2,0),"")</f>
        <v>BPMA</v>
      </c>
      <c r="E23" s="10">
        <v>2025</v>
      </c>
      <c r="F23" s="10">
        <v>2026</v>
      </c>
      <c r="G23" s="13">
        <v>46037</v>
      </c>
      <c r="H23" s="13">
        <v>46045</v>
      </c>
      <c r="I23" s="14">
        <f t="shared" si="0"/>
        <v>9</v>
      </c>
    </row>
    <row r="24" spans="1:9" x14ac:dyDescent="0.2">
      <c r="A24" s="9">
        <v>7322569</v>
      </c>
      <c r="B24" s="10" t="s">
        <v>15</v>
      </c>
      <c r="C24" s="11" t="str">
        <f ca="1">IFERROR(VLOOKUP(A24,[1]FORMULAS!$AM:$AQ,5,0),"")</f>
        <v>WELITON WAGNER DOS SANTOS</v>
      </c>
      <c r="D24" s="10" t="str">
        <f ca="1">IFERROR(VLOOKUP(A24,[1]FORMULAS!$AM:$AQ,2,0),"")</f>
        <v>BPMA</v>
      </c>
      <c r="E24" s="10">
        <v>2025</v>
      </c>
      <c r="F24" s="10">
        <v>2026</v>
      </c>
      <c r="G24" s="16">
        <v>46043</v>
      </c>
      <c r="H24" s="16">
        <v>46055</v>
      </c>
      <c r="I24" s="14">
        <f t="shared" si="0"/>
        <v>13</v>
      </c>
    </row>
    <row r="25" spans="1:9" x14ac:dyDescent="0.2">
      <c r="A25" s="9">
        <v>730858</v>
      </c>
      <c r="B25" s="10" t="s">
        <v>18</v>
      </c>
      <c r="C25" s="11" t="str">
        <f ca="1">IFERROR(VLOOKUP(A25,[1]FORMULAS!$AM:$AQ,5,0),"")</f>
        <v>MARCELO FERREIRA DE MELO</v>
      </c>
      <c r="D25" s="10" t="str">
        <f ca="1">IFERROR(VLOOKUP(A25,[1]FORMULAS!$AM:$AQ,2,0),"")</f>
        <v>BPMA</v>
      </c>
      <c r="E25" s="10">
        <v>2025</v>
      </c>
      <c r="F25" s="10">
        <v>2026</v>
      </c>
      <c r="G25" s="16">
        <v>46038</v>
      </c>
      <c r="H25" s="16">
        <v>46042</v>
      </c>
      <c r="I25" s="14">
        <f t="shared" si="0"/>
        <v>5</v>
      </c>
    </row>
    <row r="26" spans="1:9" x14ac:dyDescent="0.2">
      <c r="A26" s="9">
        <v>728012</v>
      </c>
      <c r="B26" s="10" t="s">
        <v>18</v>
      </c>
      <c r="C26" s="11" t="str">
        <f ca="1">IFERROR(VLOOKUP(A26,[1]FORMULAS!$AM:$AQ,5,0),"")</f>
        <v>PAULO ROBERTO FERREIRA BOMFIM</v>
      </c>
      <c r="D26" s="10" t="str">
        <f ca="1">IFERROR(VLOOKUP(A26,[1]FORMULAS!$AM:$AQ,2,0),"")</f>
        <v>BPMA</v>
      </c>
      <c r="E26" s="10">
        <v>2025</v>
      </c>
      <c r="F26" s="10">
        <v>2026</v>
      </c>
      <c r="G26" s="16">
        <v>46041</v>
      </c>
      <c r="H26" s="16">
        <v>46045</v>
      </c>
      <c r="I26" s="14">
        <f t="shared" si="0"/>
        <v>5</v>
      </c>
    </row>
    <row r="27" spans="1:9" x14ac:dyDescent="0.2">
      <c r="A27" s="9">
        <v>7322631</v>
      </c>
      <c r="B27" s="10" t="s">
        <v>15</v>
      </c>
      <c r="C27" s="11" t="str">
        <f ca="1">IFERROR(VLOOKUP(A27,[1]FORMULAS!$AM:$AQ,5,0),"")</f>
        <v>BRICIO HERBERT ALVES TEIXEIRA</v>
      </c>
      <c r="D27" s="10" t="str">
        <f ca="1">IFERROR(VLOOKUP(A27,[1]FORMULAS!$AM:$AQ,2,0),"")</f>
        <v>BPMA</v>
      </c>
      <c r="E27" s="10">
        <v>2025</v>
      </c>
      <c r="F27" s="10">
        <v>2026</v>
      </c>
      <c r="G27" s="16">
        <v>46042</v>
      </c>
      <c r="H27" s="16">
        <v>46071</v>
      </c>
      <c r="I27" s="14">
        <f t="shared" si="0"/>
        <v>30</v>
      </c>
    </row>
    <row r="28" spans="1:9" x14ac:dyDescent="0.2">
      <c r="A28" s="17">
        <v>244007</v>
      </c>
      <c r="B28" s="10" t="s">
        <v>18</v>
      </c>
      <c r="C28" s="11" t="s">
        <v>22</v>
      </c>
      <c r="D28" s="10" t="s">
        <v>0</v>
      </c>
      <c r="E28" s="10">
        <v>2025</v>
      </c>
      <c r="F28" s="10">
        <v>2026</v>
      </c>
      <c r="G28" s="13">
        <v>46046</v>
      </c>
      <c r="H28" s="13">
        <v>46055</v>
      </c>
      <c r="I28" s="14">
        <f t="shared" si="0"/>
        <v>10</v>
      </c>
    </row>
    <row r="29" spans="1:9" x14ac:dyDescent="0.2">
      <c r="A29" s="9">
        <v>32579527</v>
      </c>
      <c r="B29" s="10" t="s">
        <v>16</v>
      </c>
      <c r="C29" s="11" t="s">
        <v>23</v>
      </c>
      <c r="D29" s="10" t="s">
        <v>0</v>
      </c>
      <c r="E29" s="10">
        <v>2025</v>
      </c>
      <c r="F29" s="10">
        <v>2026</v>
      </c>
      <c r="G29" s="16">
        <v>46034</v>
      </c>
      <c r="H29" s="16">
        <v>46042</v>
      </c>
      <c r="I29" s="14">
        <f t="shared" si="0"/>
        <v>9</v>
      </c>
    </row>
    <row r="30" spans="1:9" x14ac:dyDescent="0.2">
      <c r="A30" s="9">
        <v>737402</v>
      </c>
      <c r="B30" s="10" t="s">
        <v>18</v>
      </c>
      <c r="C30" s="11" t="str">
        <f ca="1">IFERROR(VLOOKUP(A30,[1]FORMULAS!$AM:$AQ,5,0),"")</f>
        <v>FERNANDO APARECIDO DO NASCIMENTO</v>
      </c>
      <c r="D30" s="10" t="str">
        <f ca="1">IFERROR(VLOOKUP(A30,[1]FORMULAS!$AM:$AQ,2,0),"")</f>
        <v>BPMA</v>
      </c>
      <c r="E30" s="10">
        <v>2025</v>
      </c>
      <c r="F30" s="10">
        <v>2026</v>
      </c>
      <c r="G30" s="18">
        <v>46045</v>
      </c>
      <c r="H30" s="18">
        <v>46053</v>
      </c>
      <c r="I30" s="14">
        <f t="shared" si="0"/>
        <v>9</v>
      </c>
    </row>
    <row r="31" spans="1:9" x14ac:dyDescent="0.2">
      <c r="A31" s="9">
        <v>2156180</v>
      </c>
      <c r="B31" s="10" t="s">
        <v>10</v>
      </c>
      <c r="C31" s="11" t="s">
        <v>24</v>
      </c>
      <c r="D31" s="10" t="s">
        <v>0</v>
      </c>
      <c r="E31" s="10">
        <v>2025</v>
      </c>
      <c r="F31" s="10">
        <v>2026</v>
      </c>
      <c r="G31" s="13">
        <v>45660</v>
      </c>
      <c r="H31" s="13">
        <v>45668</v>
      </c>
      <c r="I31" s="14">
        <f t="shared" si="0"/>
        <v>9</v>
      </c>
    </row>
    <row r="32" spans="1:9" x14ac:dyDescent="0.2">
      <c r="A32" s="9">
        <v>7322143</v>
      </c>
      <c r="B32" s="10" t="s">
        <v>21</v>
      </c>
      <c r="C32" s="11" t="str">
        <f ca="1">IFERROR(VLOOKUP(A32,[1]FORMULAS!$AM:$AQ,5,0),"")</f>
        <v>EDUARDO RIBEIRO PIMENTEL</v>
      </c>
      <c r="D32" s="10" t="str">
        <f ca="1">IFERROR(VLOOKUP(A32,[1]FORMULAS!$AM:$AQ,2,0),"")</f>
        <v>BPMA</v>
      </c>
      <c r="E32" s="10">
        <v>2025</v>
      </c>
      <c r="F32" s="10">
        <v>2026</v>
      </c>
      <c r="G32" s="13">
        <v>46027</v>
      </c>
      <c r="H32" s="13">
        <v>46031</v>
      </c>
      <c r="I32" s="14">
        <f t="shared" si="0"/>
        <v>5</v>
      </c>
    </row>
    <row r="33" spans="1:9" x14ac:dyDescent="0.2">
      <c r="A33" s="9">
        <v>7383738</v>
      </c>
      <c r="B33" s="10" t="s">
        <v>16</v>
      </c>
      <c r="C33" s="11" t="s">
        <v>30</v>
      </c>
      <c r="D33" s="10" t="s">
        <v>0</v>
      </c>
      <c r="E33" s="10">
        <v>2025</v>
      </c>
      <c r="F33" s="10">
        <v>2026</v>
      </c>
      <c r="G33" s="13">
        <v>46050</v>
      </c>
      <c r="H33" s="13">
        <v>46062</v>
      </c>
      <c r="I33" s="14">
        <f t="shared" si="0"/>
        <v>13</v>
      </c>
    </row>
    <row r="34" spans="1:9" x14ac:dyDescent="0.2">
      <c r="A34" s="9">
        <v>7314051</v>
      </c>
      <c r="B34" s="10" t="s">
        <v>15</v>
      </c>
      <c r="C34" s="11" t="s">
        <v>26</v>
      </c>
      <c r="D34" s="10" t="s">
        <v>0</v>
      </c>
      <c r="E34" s="10">
        <v>2025</v>
      </c>
      <c r="F34" s="10">
        <v>2026</v>
      </c>
      <c r="G34" s="16">
        <v>46035</v>
      </c>
      <c r="H34" s="16">
        <v>46043</v>
      </c>
      <c r="I34" s="14">
        <f t="shared" si="0"/>
        <v>9</v>
      </c>
    </row>
    <row r="35" spans="1:9" x14ac:dyDescent="0.2">
      <c r="A35" s="9">
        <v>732397</v>
      </c>
      <c r="B35" s="10" t="s">
        <v>18</v>
      </c>
      <c r="C35" s="11" t="s">
        <v>27</v>
      </c>
      <c r="D35" s="10" t="s">
        <v>0</v>
      </c>
      <c r="E35" s="10">
        <v>2025</v>
      </c>
      <c r="F35" s="10">
        <v>2026</v>
      </c>
      <c r="G35" s="16">
        <v>46051</v>
      </c>
      <c r="H35" s="16">
        <v>46059</v>
      </c>
      <c r="I35" s="14">
        <f t="shared" si="0"/>
        <v>9</v>
      </c>
    </row>
    <row r="36" spans="1:9" x14ac:dyDescent="0.2">
      <c r="A36" s="19" t="s">
        <v>31</v>
      </c>
      <c r="B36" s="20"/>
      <c r="C36" s="21"/>
      <c r="D36" s="20"/>
      <c r="E36" s="20"/>
      <c r="F36" s="20"/>
      <c r="G36" s="20"/>
      <c r="H36" s="20"/>
      <c r="I36" s="20"/>
    </row>
    <row r="37" spans="1:9" x14ac:dyDescent="0.2">
      <c r="A37" s="9">
        <v>2149648</v>
      </c>
      <c r="B37" s="10" t="s">
        <v>10</v>
      </c>
      <c r="C37" s="15" t="s">
        <v>25</v>
      </c>
      <c r="D37" s="10" t="s">
        <v>0</v>
      </c>
      <c r="E37" s="22">
        <v>2018</v>
      </c>
      <c r="F37" s="10">
        <v>2026</v>
      </c>
      <c r="G37" s="13">
        <v>45676</v>
      </c>
      <c r="H37" s="13">
        <v>45689</v>
      </c>
      <c r="I37" s="14">
        <f>IF(G37="","",(H37-G37+1))</f>
        <v>14</v>
      </c>
    </row>
  </sheetData>
  <mergeCells count="8">
    <mergeCell ref="G1:H1"/>
    <mergeCell ref="I1:I5"/>
    <mergeCell ref="A1:A5"/>
    <mergeCell ref="B1:B5"/>
    <mergeCell ref="C1:C5"/>
    <mergeCell ref="D1:D5"/>
    <mergeCell ref="E1:E5"/>
    <mergeCell ref="F1:F5"/>
  </mergeCells>
  <conditionalFormatting sqref="G1:I37">
    <cfRule type="expression" dxfId="1" priority="1">
      <formula>AND(ISNUMBER(G1),TRUNC(G1)&lt;TODAY())</formula>
    </cfRule>
    <cfRule type="timePeriod" dxfId="0" priority="2" timePeriod="today">
      <formula>FLOOR(G1,1)=TODAY()</formula>
    </cfRule>
  </conditionalFormatting>
  <hyperlinks>
    <hyperlink ref="C37" r:id="rId1" xr:uid="{B98FA43E-8533-4126-ADD9-B3F779CA60C7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Gonçalves Maciel</dc:creator>
  <cp:lastModifiedBy>João Paulo Gonçalves Maciel</cp:lastModifiedBy>
  <dcterms:created xsi:type="dcterms:W3CDTF">2026-01-29T01:18:51Z</dcterms:created>
  <dcterms:modified xsi:type="dcterms:W3CDTF">2026-01-29T01:33:41Z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