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DE VTR BPMA" sheetId="1" r:id="rId5"/>
    <sheet state="visible" name="MODELO RELATÓRIO MENSAL SEI" sheetId="2" r:id="rId6"/>
    <sheet state="visible" name="RESPOSTAS" sheetId="3" r:id="rId7"/>
  </sheets>
  <definedNames>
    <definedName hidden="1" localSheetId="0" name="_xlnm._FilterDatabase">'MAPA DE VTR BPMA'!$A$1:$V$51</definedName>
    <definedName hidden="1" localSheetId="1" name="_xlnm._FilterDatabase">'MODELO RELATÓRIO MENSAL SEI'!$A$1:$P$51</definedName>
  </definedNames>
  <calcPr/>
</workbook>
</file>

<file path=xl/sharedStrings.xml><?xml version="1.0" encoding="utf-8"?>
<sst xmlns="http://schemas.openxmlformats.org/spreadsheetml/2006/main" count="878" uniqueCount="263">
  <si>
    <t>PREFIXO</t>
  </si>
  <si>
    <t>TOMBAMENTO</t>
  </si>
  <si>
    <t>TIPO</t>
  </si>
  <si>
    <t>EMPREGO</t>
  </si>
  <si>
    <t>MARCA</t>
  </si>
  <si>
    <t>MODELO</t>
  </si>
  <si>
    <t>ANO DE FABRICAÇÃO</t>
  </si>
  <si>
    <t>LOCALIZAÇÃO</t>
  </si>
  <si>
    <t>KM/HM ATUAL</t>
  </si>
  <si>
    <t>SITUAÇÃO</t>
  </si>
  <si>
    <t>MOTIVO DA BAIXA</t>
  </si>
  <si>
    <t>PLACA</t>
  </si>
  <si>
    <t>CHASSI</t>
  </si>
  <si>
    <t>TOMBAMENTO DO KIT SINALIZADOR</t>
  </si>
  <si>
    <t>TOMBAMENTO DO RÁDIO</t>
  </si>
  <si>
    <t>Nº DE SÉRIE DO RÁDIO</t>
  </si>
  <si>
    <t>RESPONSÁVEL</t>
  </si>
  <si>
    <t>MODELO DO PNEU</t>
  </si>
  <si>
    <t>DATA DA ÚLTIMA TROCA DE PNEU</t>
  </si>
  <si>
    <t>KM DA PRÓXIMA TROCA DE PNEU</t>
  </si>
  <si>
    <t>KM/HM DA PRÓXIMA REVISÃO</t>
  </si>
  <si>
    <t>OBSERVAÇÕES</t>
  </si>
  <si>
    <t>CAMINHÃO</t>
  </si>
  <si>
    <t>ADMINISTRATIVO</t>
  </si>
  <si>
    <t>HYUNDAI</t>
  </si>
  <si>
    <t>HR 2.5 Turbo</t>
  </si>
  <si>
    <t>2020/2021</t>
  </si>
  <si>
    <t>SEDE BPMA</t>
  </si>
  <si>
    <t>RER-3C82</t>
  </si>
  <si>
    <t>95PZBN7KPMB090672</t>
  </si>
  <si>
    <t>16227A0403</t>
  </si>
  <si>
    <t>INDEFINIDO</t>
  </si>
  <si>
    <t>ÔNIBUS E VANS</t>
  </si>
  <si>
    <t>OPERACIONAL</t>
  </si>
  <si>
    <t>MARCOPOLO</t>
  </si>
  <si>
    <t>Volare W9</t>
  </si>
  <si>
    <t>LACUSTRE</t>
  </si>
  <si>
    <t>JJU-1689</t>
  </si>
  <si>
    <t>93PB40N31CC042616</t>
  </si>
  <si>
    <t>NÃO SE APLICA</t>
  </si>
  <si>
    <t>NÃO TEM</t>
  </si>
  <si>
    <t>COPel</t>
  </si>
  <si>
    <t>ESTÁ COM O CURSO OP. LACUSTRES</t>
  </si>
  <si>
    <t>JJU-1799</t>
  </si>
  <si>
    <t>93PB40N31CC042633</t>
  </si>
  <si>
    <t>TRATOR</t>
  </si>
  <si>
    <t>AGRITECH</t>
  </si>
  <si>
    <t>JKA4548</t>
  </si>
  <si>
    <t>71ON0247</t>
  </si>
  <si>
    <t>Trator usado para movimentar embarcações</t>
  </si>
  <si>
    <t>EMBARCAÇÃO</t>
  </si>
  <si>
    <t>YAMAHA</t>
  </si>
  <si>
    <t>Moto aquática Supercharged Intercooler</t>
  </si>
  <si>
    <t>JET-7112</t>
  </si>
  <si>
    <t>US-YAMA2687B111</t>
  </si>
  <si>
    <t>JET VII</t>
  </si>
  <si>
    <t>JET-7111</t>
  </si>
  <si>
    <t>US-YAMA2711B111</t>
  </si>
  <si>
    <t>JET VIII</t>
  </si>
  <si>
    <t>FLEXBOAT</t>
  </si>
  <si>
    <t>SR760 2MP</t>
  </si>
  <si>
    <t>BPA-7121</t>
  </si>
  <si>
    <t>BPMA 01/ 1 motor</t>
  </si>
  <si>
    <t>BPM-7117</t>
  </si>
  <si>
    <t>BPMA 03/ 2 motores</t>
  </si>
  <si>
    <t>BPM-0571</t>
  </si>
  <si>
    <t>BOPÃO (BPMA 05)/ 2 motores</t>
  </si>
  <si>
    <t>TRITON</t>
  </si>
  <si>
    <t>Barco com casco em fibra de vidro</t>
  </si>
  <si>
    <t>BRWAY00896.D.111</t>
  </si>
  <si>
    <t>Triton</t>
  </si>
  <si>
    <t>FIAT</t>
  </si>
  <si>
    <t>Ducato Multi TA 2.3</t>
  </si>
  <si>
    <t>2012/2013</t>
  </si>
  <si>
    <t>PREALG</t>
  </si>
  <si>
    <t>93W245H34D2106396</t>
  </si>
  <si>
    <t>16227D0117</t>
  </si>
  <si>
    <t>RENAULT</t>
  </si>
  <si>
    <t>Master Vitre Pack luxo</t>
  </si>
  <si>
    <t>REQ-8E50</t>
  </si>
  <si>
    <t>93YMAF4XEMJ784472</t>
  </si>
  <si>
    <t>16227D0003</t>
  </si>
  <si>
    <t>16 PASSAGEIROS</t>
  </si>
  <si>
    <t>VTR 2 RODAS</t>
  </si>
  <si>
    <t>LANDER XTZ 250 CC</t>
  </si>
  <si>
    <t>REI-7I45</t>
  </si>
  <si>
    <t>9C6DG3320M0031053</t>
  </si>
  <si>
    <t>SGT LUIZ REZENDE</t>
  </si>
  <si>
    <t>REI-7I26</t>
  </si>
  <si>
    <t>9C6DG3320M0031094</t>
  </si>
  <si>
    <t>DISPONÍVEL</t>
  </si>
  <si>
    <t>VTR 4 RODAS</t>
  </si>
  <si>
    <t>CHEVROLET</t>
  </si>
  <si>
    <t>S10 LT DD4A</t>
  </si>
  <si>
    <t>SGP2C23</t>
  </si>
  <si>
    <t>9BG148FK0NC454139</t>
  </si>
  <si>
    <t>NÃO TEM TOMBAMENTO</t>
  </si>
  <si>
    <t>DO CPU</t>
  </si>
  <si>
    <t>MITSUBISHI</t>
  </si>
  <si>
    <t>L200 TRITON</t>
  </si>
  <si>
    <t>SSF8H49</t>
  </si>
  <si>
    <t>93XTYKL1TRCP78273</t>
  </si>
  <si>
    <t>SSF8H42</t>
  </si>
  <si>
    <t>93XTYKL1TRCP78219</t>
  </si>
  <si>
    <t>SVG</t>
  </si>
  <si>
    <t>VELADO</t>
  </si>
  <si>
    <t>PAJERO DAKAR 3.2L</t>
  </si>
  <si>
    <t>93XJNKH8WDCC08309</t>
  </si>
  <si>
    <t>Que veio do pátio de leilão</t>
  </si>
  <si>
    <t>S10</t>
  </si>
  <si>
    <t>OVS-8850</t>
  </si>
  <si>
    <t>9BG148FK0EC432902</t>
  </si>
  <si>
    <t>OVS-9707</t>
  </si>
  <si>
    <t>9BG148FK0EC436835</t>
  </si>
  <si>
    <t>OVS-9715</t>
  </si>
  <si>
    <t>9BG148FK0EC444057</t>
  </si>
  <si>
    <t>OVS-9717</t>
  </si>
  <si>
    <t>9BG148FK0EC454197</t>
  </si>
  <si>
    <t>16227D0118</t>
  </si>
  <si>
    <t>OVS-9714</t>
  </si>
  <si>
    <t>9BG148FK0EC456726</t>
  </si>
  <si>
    <t>16227D0129</t>
  </si>
  <si>
    <t>OVS-8845</t>
  </si>
  <si>
    <t>9BG148FK0EC456731</t>
  </si>
  <si>
    <t>16227D0138</t>
  </si>
  <si>
    <t>OVS-9711</t>
  </si>
  <si>
    <t>9BG148FK0EC456885</t>
  </si>
  <si>
    <t>Reservado para P2</t>
  </si>
  <si>
    <t>OVS-9721</t>
  </si>
  <si>
    <t>9BG148FK0EC458769</t>
  </si>
  <si>
    <t>16227D0147</t>
  </si>
  <si>
    <t>OVS-8399</t>
  </si>
  <si>
    <t>9BG148FK0EC454087</t>
  </si>
  <si>
    <t>16227D0154</t>
  </si>
  <si>
    <t>OVS-8813</t>
  </si>
  <si>
    <t>9BG148FK0EC454842</t>
  </si>
  <si>
    <t>16227D0115</t>
  </si>
  <si>
    <t>OVS-8840</t>
  </si>
  <si>
    <t>9BG148FK0EC455359</t>
  </si>
  <si>
    <t>16227D0112</t>
  </si>
  <si>
    <t>TOYOTA</t>
  </si>
  <si>
    <t>HILLUX</t>
  </si>
  <si>
    <t>PBE-5A51</t>
  </si>
  <si>
    <t>8AJHC8CD8H0037119</t>
  </si>
  <si>
    <t>PBI-8727</t>
  </si>
  <si>
    <t>8AJHC8CD0H0037261</t>
  </si>
  <si>
    <t>SEA-DOO</t>
  </si>
  <si>
    <t>Moto aquática GTX 170</t>
  </si>
  <si>
    <t>JET-7125</t>
  </si>
  <si>
    <t>YDV06125H021</t>
  </si>
  <si>
    <t>JET IX (PLOTADO 09)</t>
  </si>
  <si>
    <t>Moto aquática GTX 171</t>
  </si>
  <si>
    <t>JET-7724</t>
  </si>
  <si>
    <t>YDV05016H021</t>
  </si>
  <si>
    <t>JET X (PLOTADO 10)</t>
  </si>
  <si>
    <t>TCN DO BRASIL</t>
  </si>
  <si>
    <t>KARUANÃ</t>
  </si>
  <si>
    <t>LAC-0326</t>
  </si>
  <si>
    <t>Lacustre 03</t>
  </si>
  <si>
    <t>Lacustre 04</t>
  </si>
  <si>
    <t>ASX</t>
  </si>
  <si>
    <t>2018/2019</t>
  </si>
  <si>
    <t>PBN 7383</t>
  </si>
  <si>
    <t>93XFTGA2WKCJ42565</t>
  </si>
  <si>
    <t>16227A0694</t>
  </si>
  <si>
    <t>SVG/FISCAL</t>
  </si>
  <si>
    <t>Kwid Intense 1.0L</t>
  </si>
  <si>
    <t>11º BPM</t>
  </si>
  <si>
    <t>PBR-6764</t>
  </si>
  <si>
    <t>93YRBB004KJ838462</t>
  </si>
  <si>
    <t>FORD</t>
  </si>
  <si>
    <t>KA FREESTYLE 1.5 AT</t>
  </si>
  <si>
    <t>REN3A47</t>
  </si>
  <si>
    <t>9BFZH55S9M8092763</t>
  </si>
  <si>
    <t>16227A0454</t>
  </si>
  <si>
    <t>Trailblazer LT 4x4</t>
  </si>
  <si>
    <t>SGT6F28</t>
  </si>
  <si>
    <t>9BG156FK0PC444009</t>
  </si>
  <si>
    <t>16225D0265</t>
  </si>
  <si>
    <t>GTA</t>
  </si>
  <si>
    <t>L200 TRITON GLS AT</t>
  </si>
  <si>
    <t>SGU9D36</t>
  </si>
  <si>
    <t>93XTYKL1TRCP71099</t>
  </si>
  <si>
    <t>Kit e HT não estão na carga do BPMA (n° Sei 00054-00163887/2025-13)</t>
  </si>
  <si>
    <t>SGU9C77</t>
  </si>
  <si>
    <t>93XTYKL1TRCP70667</t>
  </si>
  <si>
    <t>16227D0155</t>
  </si>
  <si>
    <t>SGU9C82</t>
  </si>
  <si>
    <t>93XTYKL1TRCP71268</t>
  </si>
  <si>
    <t>16227A0080</t>
  </si>
  <si>
    <t>RÁDIO NÃO FUNCIONA</t>
  </si>
  <si>
    <t>SGU9C86</t>
  </si>
  <si>
    <t>93XTYKL1TRCP71001</t>
  </si>
  <si>
    <t>16227D0107</t>
  </si>
  <si>
    <t>SGU9C87</t>
  </si>
  <si>
    <t>93XTYKL1TRCP71032</t>
  </si>
  <si>
    <t>16227D0156</t>
  </si>
  <si>
    <t>GOC</t>
  </si>
  <si>
    <t>RÁDIO EM IPM: Nº 2024.0707.04.0314</t>
  </si>
  <si>
    <t>SGU9C96</t>
  </si>
  <si>
    <t>93XTYKL1TRCP71523</t>
  </si>
  <si>
    <t>16225D0364</t>
  </si>
  <si>
    <t>SGV6D85</t>
  </si>
  <si>
    <t>93XTYKL1TRCP71330</t>
  </si>
  <si>
    <t>16227D0160</t>
  </si>
  <si>
    <t>SGV6D80</t>
  </si>
  <si>
    <t>93XTYKL1TRCP71359</t>
  </si>
  <si>
    <t>16227D0106</t>
  </si>
  <si>
    <t>SGV6D84</t>
  </si>
  <si>
    <t>93XTYKL1TRCP71411</t>
  </si>
  <si>
    <t>16225D0390</t>
  </si>
  <si>
    <t>SGV6D61</t>
  </si>
  <si>
    <t>93XTYKL1TRCP72920</t>
  </si>
  <si>
    <t>16227D0148</t>
  </si>
  <si>
    <t>RPA</t>
  </si>
  <si>
    <t>TRAILBLAZER 4X4</t>
  </si>
  <si>
    <t>2015/2016</t>
  </si>
  <si>
    <t>Indisponível</t>
  </si>
  <si>
    <t>Aguardando descaracterização</t>
  </si>
  <si>
    <t>PAQ-8561</t>
  </si>
  <si>
    <t>9BG156MB0GC407081</t>
  </si>
  <si>
    <t>16227D0212</t>
  </si>
  <si>
    <t>P2</t>
  </si>
  <si>
    <t>Será descarcaterizada p P2</t>
  </si>
  <si>
    <t>UPM</t>
  </si>
  <si>
    <t>QUANTIDADE</t>
  </si>
  <si>
    <t>PLACA VINCULADA</t>
  </si>
  <si>
    <t>ANO FABRICAÇÃO</t>
  </si>
  <si>
    <t>TOMBAMENTO RÁDIO</t>
  </si>
  <si>
    <t>TOMBAMENTO KIT SINALIZADOR</t>
  </si>
  <si>
    <t>KM ATUAL</t>
  </si>
  <si>
    <t>LOCAL QUE A VIATURA SE ENCONTRA</t>
  </si>
  <si>
    <t>INFORMAÇÕES COMPLEMENTARES</t>
  </si>
  <si>
    <t>BPMA</t>
  </si>
  <si>
    <t>-</t>
  </si>
  <si>
    <t>Total de Tratores</t>
  </si>
  <si>
    <t>Total de Chevrolet S10</t>
  </si>
  <si>
    <t>Total de Ônibus e Vans</t>
  </si>
  <si>
    <t>Total de FORD Ka</t>
  </si>
  <si>
    <t>Total de GM Trailblazer</t>
  </si>
  <si>
    <t>Total de Caminhões Baú</t>
  </si>
  <si>
    <t>Total de Mitsubishi ASX</t>
  </si>
  <si>
    <t>Total de Mitsubishi L200</t>
  </si>
  <si>
    <t>Total de Renault Kwid</t>
  </si>
  <si>
    <t>Total de Toyota Hilux</t>
  </si>
  <si>
    <t>Total de Yamaha Lander</t>
  </si>
  <si>
    <t>Total de Viaturas da UPM</t>
  </si>
  <si>
    <t>Carimbo de data/hora</t>
  </si>
  <si>
    <t>Qual o Prefixo da VTR (sem ponto. Ex: 554453)</t>
  </si>
  <si>
    <t>Qual o KM atual?</t>
  </si>
  <si>
    <t>Situação</t>
  </si>
  <si>
    <t>Motivo da Baixa</t>
  </si>
  <si>
    <t>Km da próxima revisão</t>
  </si>
  <si>
    <t>Observações</t>
  </si>
  <si>
    <t>Baixada</t>
  </si>
  <si>
    <t>Disponível</t>
  </si>
  <si>
    <t>BPMA 03</t>
  </si>
  <si>
    <t>BOPÃO</t>
  </si>
  <si>
    <t>BPMA 01</t>
  </si>
  <si>
    <t>RÁDIO E KIT NÃO ESTÃO NA CARGA DO BPMA</t>
  </si>
  <si>
    <t>Descaracterização</t>
  </si>
  <si>
    <t>Descarga</t>
  </si>
  <si>
    <t>Sem informações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</si>
</sst>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/m/yy"/>
  </numFmts>
  <fonts count="11">
    <font>
      <sz val="10.0"/>
      <color rgb="FF000000"/>
      <name val="Arial"/>
      <scheme val="minor"/>
    </font>
    <font>
      <b/>
      <color rgb="FFFFCD05"/>
      <name val="Arial"/>
      <scheme val="minor"/>
    </font>
    <font>
      <color theme="1"/>
      <name val="Arial"/>
    </font>
    <font>
      <sz val="12.0"/>
      <color theme="1"/>
      <name val="Calibri"/>
    </font>
    <font>
      <color rgb="FFFF0000"/>
      <name val="Arial"/>
    </font>
    <font>
      <b/>
      <color theme="1"/>
      <name val="Arial"/>
      <scheme val="minor"/>
    </font>
    <font>
      <color theme="1"/>
      <name val="Arial"/>
      <scheme val="minor"/>
    </font>
    <font/>
    <font>
      <b/>
      <color rgb="FF000000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71D49"/>
        <bgColor rgb="FF071D49"/>
      </patternFill>
    </fill>
    <fill>
      <patternFill patternType="solid">
        <fgColor rgb="FF1155CC"/>
        <bgColor rgb="FF1155CC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center" readingOrder="0" shrinkToFit="0" vertical="center" wrapText="1"/>
    </xf>
    <xf borderId="0" fillId="3" fontId="1" numFmtId="1" xfId="0" applyAlignment="1" applyFill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1" xfId="0" applyAlignment="1" applyFont="1" applyNumberFormat="1">
      <alignment horizontal="center" readingOrder="0" shrinkToFit="0" vertical="center" wrapText="1"/>
    </xf>
    <xf borderId="0" fillId="4" fontId="1" numFmtId="49" xfId="0" applyAlignment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5" fontId="2" numFmtId="0" xfId="0" applyAlignment="1" applyFill="1" applyFont="1">
      <alignment horizontal="right" vertical="bottom"/>
    </xf>
    <xf borderId="0" fillId="5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5" fontId="2" numFmtId="0" xfId="0" applyAlignment="1" applyFont="1">
      <alignment vertical="bottom"/>
    </xf>
    <xf borderId="0" fillId="0" fontId="2" numFmtId="1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5" fontId="2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vertical="bottom"/>
    </xf>
    <xf borderId="0" fillId="5" fontId="2" numFmtId="0" xfId="0" applyAlignment="1" applyFont="1">
      <alignment vertical="bottom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6" numFmtId="1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0" fillId="0" fontId="5" numFmtId="0" xfId="0" applyAlignment="1" applyFont="1">
      <alignment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9" numFmtId="1" xfId="0" applyAlignment="1" applyBorder="1" applyFont="1" applyNumberFormat="1">
      <alignment horizontal="center" readingOrder="0"/>
    </xf>
    <xf borderId="0" fillId="0" fontId="9" numFmtId="0" xfId="0" applyFont="1"/>
    <xf borderId="1" fillId="0" fontId="10" numFmtId="0" xfId="0" applyAlignment="1" applyBorder="1" applyFont="1">
      <alignment horizontal="center"/>
    </xf>
    <xf borderId="0" fillId="0" fontId="10" numFmtId="0" xfId="0" applyFont="1"/>
    <xf borderId="0" fillId="0" fontId="6" numFmtId="0" xfId="0" applyAlignment="1" applyFont="1">
      <alignment vertical="center"/>
    </xf>
    <xf borderId="1" fillId="0" fontId="6" numFmtId="0" xfId="0" applyAlignment="1" applyBorder="1" applyFont="1">
      <alignment horizontal="center" readingOrder="0"/>
    </xf>
    <xf borderId="0" fillId="0" fontId="5" numFmtId="0" xfId="0" applyFont="1"/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1" xfId="0" applyAlignment="1" applyFont="1" applyNumberFormat="1">
      <alignment horizontal="right"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9" numFmtId="1" xfId="0" applyAlignment="1" applyFont="1" applyNumberFormat="1">
      <alignment horizontal="right" readingOrder="0" shrinkToFit="0" vertical="center" wrapText="0"/>
    </xf>
    <xf borderId="0" fillId="0" fontId="9" numFmtId="49" xfId="0" applyAlignment="1" applyFont="1" applyNumberFormat="1">
      <alignment readingOrder="0" shrinkToFit="0" vertical="center" wrapText="0"/>
    </xf>
    <xf borderId="0" fillId="0" fontId="9" numFmtId="165" xfId="0" applyAlignment="1" applyFont="1" applyNumberForma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3" displayName="Form_Responses" name="Form_Responses" id="1">
  <tableColumns count="7">
    <tableColumn name="Carimbo de data/hora" id="1"/>
    <tableColumn name="Qual o Prefixo da VTR (sem ponto. Ex: 554453)" id="2"/>
    <tableColumn name="Qual o KM atual?" id="3"/>
    <tableColumn name="Situação" id="4"/>
    <tableColumn name="Motivo da Baixa" id="5"/>
    <tableColumn name="Km da próxima revisão" id="6"/>
    <tableColumn name="Observações" id="7"/>
  </tableColumns>
  <tableStyleInfo name="RESPOS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5.63"/>
    <col customWidth="1" min="3" max="3" width="16.38"/>
    <col customWidth="1" min="4" max="4" width="17.5"/>
    <col customWidth="1" min="5" max="5" width="14.38"/>
    <col customWidth="1" min="6" max="6" width="30.75"/>
    <col customWidth="1" min="7" max="7" width="14.63"/>
    <col customWidth="1" min="8" max="8" width="15.63"/>
    <col customWidth="1" min="9" max="9" width="15.13"/>
    <col customWidth="1" min="10" max="10" width="14.0"/>
    <col customWidth="1" min="11" max="11" width="16.88"/>
    <col customWidth="1" min="12" max="12" width="9.25"/>
    <col customWidth="1" min="13" max="13" width="18.75"/>
    <col customWidth="1" min="14" max="14" width="24.13"/>
    <col customWidth="1" min="15" max="15" width="18.88"/>
    <col customWidth="1" min="16" max="16" width="17.88"/>
    <col customWidth="1" min="17" max="19" width="16.88"/>
    <col customWidth="1" min="20" max="21" width="20.38"/>
    <col customWidth="1" min="22" max="22" width="32.13"/>
  </cols>
  <sheetData>
    <row r="1" ht="37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5" t="s">
        <v>20</v>
      </c>
      <c r="V1" s="6" t="s">
        <v>21</v>
      </c>
    </row>
    <row r="2" hidden="1">
      <c r="A2" s="7">
        <v>33548.0</v>
      </c>
      <c r="B2" s="7">
        <v>3.600275753E9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tr">
        <f t="array" ref="I2">IFERROR(XLOOKUP(A2,RESPOSTAS!B:B,RESPOSTAS!C:C,"",0,-1),"Sem valor")</f>
        <v/>
      </c>
      <c r="J2" s="8" t="str">
        <f t="array" ref="J2">IFERROR(XLOOKUP(A2,RESPOSTAS!B:B,RESPOSTAS!D:D,"",0,-1),"Sem valor")</f>
        <v>Disponível</v>
      </c>
      <c r="K2" s="8" t="str">
        <f t="array" ref="K2">IFERROR(XLOOKUP(A2,RESPOSTAS!B:B,RESPOSTAS!E:E,"",0,-1),"Sem valor")</f>
        <v/>
      </c>
      <c r="L2" s="9" t="s">
        <v>28</v>
      </c>
      <c r="M2" s="10" t="s">
        <v>29</v>
      </c>
      <c r="N2" s="7">
        <v>3.600275757E9</v>
      </c>
      <c r="O2" s="11">
        <v>3.600212595E9</v>
      </c>
      <c r="P2" s="12" t="s">
        <v>30</v>
      </c>
      <c r="Q2" s="8" t="s">
        <v>31</v>
      </c>
      <c r="R2" s="8" t="s">
        <v>31</v>
      </c>
      <c r="S2" s="8" t="s">
        <v>31</v>
      </c>
      <c r="T2" s="8"/>
      <c r="U2" s="8" t="str">
        <f t="array" ref="U2">IFERROR(XLOOKUP(A2,RESPOSTAS!B:B,RESPOSTAS!F:F,"",0,-1),"Sem valor")</f>
        <v/>
      </c>
      <c r="V2" s="8"/>
    </row>
    <row r="3" hidden="1">
      <c r="A3" s="7">
        <v>55411.0</v>
      </c>
      <c r="B3" s="7">
        <v>3.6001752E9</v>
      </c>
      <c r="C3" s="8" t="s">
        <v>32</v>
      </c>
      <c r="D3" s="8" t="s">
        <v>33</v>
      </c>
      <c r="E3" s="8" t="s">
        <v>34</v>
      </c>
      <c r="F3" s="8" t="s">
        <v>35</v>
      </c>
      <c r="G3" s="13">
        <v>2012.0</v>
      </c>
      <c r="H3" s="8" t="s">
        <v>36</v>
      </c>
      <c r="I3" s="8" t="str">
        <f t="array" ref="I3">IFERROR(XLOOKUP(A3,RESPOSTAS!B:B,RESPOSTAS!C:C,"",0,-1),"Sem valor")</f>
        <v/>
      </c>
      <c r="J3" s="8" t="str">
        <f t="array" ref="J3">IFERROR(XLOOKUP(A3,RESPOSTAS!B:B,RESPOSTAS!D:D,"",0,-1),"Sem valor")</f>
        <v>Disponível</v>
      </c>
      <c r="K3" s="8" t="str">
        <f t="array" ref="K3">IFERROR(XLOOKUP(A3,RESPOSTAS!B:B,RESPOSTAS!E:E,"",0,-1),"Sem valor")</f>
        <v/>
      </c>
      <c r="L3" s="9" t="s">
        <v>37</v>
      </c>
      <c r="M3" s="8" t="s">
        <v>38</v>
      </c>
      <c r="N3" s="8" t="s">
        <v>39</v>
      </c>
      <c r="O3" s="12" t="s">
        <v>40</v>
      </c>
      <c r="P3" s="12" t="s">
        <v>39</v>
      </c>
      <c r="Q3" s="8" t="s">
        <v>41</v>
      </c>
      <c r="R3" s="8" t="s">
        <v>31</v>
      </c>
      <c r="S3" s="8" t="s">
        <v>31</v>
      </c>
      <c r="T3" s="8"/>
      <c r="U3" s="8" t="str">
        <f t="array" ref="U3">IFERROR(XLOOKUP(A3,RESPOSTAS!B:B,RESPOSTAS!F:F,"",0,-1),"Sem valor")</f>
        <v/>
      </c>
      <c r="V3" s="14" t="s">
        <v>42</v>
      </c>
    </row>
    <row r="4" hidden="1">
      <c r="A4" s="7">
        <v>55423.0</v>
      </c>
      <c r="B4" s="7">
        <v>3.600175206E9</v>
      </c>
      <c r="C4" s="8" t="s">
        <v>32</v>
      </c>
      <c r="D4" s="8" t="s">
        <v>33</v>
      </c>
      <c r="E4" s="8" t="s">
        <v>34</v>
      </c>
      <c r="F4" s="8" t="s">
        <v>35</v>
      </c>
      <c r="G4" s="13">
        <v>2012.0</v>
      </c>
      <c r="H4" s="8" t="s">
        <v>27</v>
      </c>
      <c r="I4" s="8" t="str">
        <f t="array" ref="I4">IFERROR(XLOOKUP(A4,RESPOSTAS!B:B,RESPOSTAS!C:C,"",0,-1),"Sem valor")</f>
        <v/>
      </c>
      <c r="J4" s="8" t="str">
        <f t="array" ref="J4">IFERROR(XLOOKUP(A4,RESPOSTAS!B:B,RESPOSTAS!D:D,"",0,-1),"Sem valor")</f>
        <v>Disponível</v>
      </c>
      <c r="K4" s="8" t="str">
        <f t="array" ref="K4">IFERROR(XLOOKUP(A4,RESPOSTAS!B:B,RESPOSTAS!E:E,"",0,-1),"Sem valor")</f>
        <v/>
      </c>
      <c r="L4" s="9" t="s">
        <v>43</v>
      </c>
      <c r="M4" s="8" t="s">
        <v>44</v>
      </c>
      <c r="N4" s="8" t="s">
        <v>39</v>
      </c>
      <c r="O4" s="12" t="s">
        <v>40</v>
      </c>
      <c r="P4" s="12" t="s">
        <v>39</v>
      </c>
      <c r="Q4" s="8" t="s">
        <v>31</v>
      </c>
      <c r="R4" s="8" t="s">
        <v>31</v>
      </c>
      <c r="S4" s="8" t="s">
        <v>31</v>
      </c>
      <c r="T4" s="8"/>
      <c r="U4" s="8" t="str">
        <f t="array" ref="U4">IFERROR(XLOOKUP(A4,RESPOSTAS!B:B,RESPOSTAS!F:F,"",0,-1),"Sem valor")</f>
        <v/>
      </c>
      <c r="V4" s="8"/>
    </row>
    <row r="5" hidden="1">
      <c r="A5" s="7">
        <v>33183.0</v>
      </c>
      <c r="B5" s="7">
        <v>3.600150586E9</v>
      </c>
      <c r="C5" s="15" t="s">
        <v>45</v>
      </c>
      <c r="D5" s="15" t="s">
        <v>23</v>
      </c>
      <c r="E5" s="8" t="s">
        <v>46</v>
      </c>
      <c r="F5" s="16">
        <v>1175.0</v>
      </c>
      <c r="G5" s="13">
        <v>2010.0</v>
      </c>
      <c r="H5" s="8" t="s">
        <v>36</v>
      </c>
      <c r="I5" s="8" t="str">
        <f t="array" ref="I5">IFERROR(XLOOKUP(A5,RESPOSTAS!B:B,RESPOSTAS!C:C,"",0,-1),"Sem valor")</f>
        <v/>
      </c>
      <c r="J5" s="8" t="str">
        <f t="array" ref="J5">IFERROR(XLOOKUP(A5,RESPOSTAS!B:B,RESPOSTAS!D:D,"",0,-1),"Sem valor")</f>
        <v>Disponível</v>
      </c>
      <c r="K5" s="8" t="str">
        <f t="array" ref="K5">IFERROR(XLOOKUP(A5,RESPOSTAS!B:B,RESPOSTAS!E:E,"",0,-1),"Sem valor")</f>
        <v/>
      </c>
      <c r="L5" s="9" t="s">
        <v>47</v>
      </c>
      <c r="M5" s="8" t="s">
        <v>48</v>
      </c>
      <c r="N5" s="8" t="s">
        <v>39</v>
      </c>
      <c r="O5" s="12" t="s">
        <v>40</v>
      </c>
      <c r="P5" s="12" t="s">
        <v>39</v>
      </c>
      <c r="Q5" s="8" t="s">
        <v>36</v>
      </c>
      <c r="R5" s="8" t="s">
        <v>31</v>
      </c>
      <c r="S5" s="8" t="s">
        <v>31</v>
      </c>
      <c r="T5" s="8"/>
      <c r="U5" s="8" t="str">
        <f t="array" ref="U5">IFERROR(XLOOKUP(A5,RESPOSTAS!B:B,RESPOSTAS!F:F,"",0,-1),"Sem valor")</f>
        <v/>
      </c>
      <c r="V5" s="14" t="s">
        <v>49</v>
      </c>
    </row>
    <row r="6" hidden="1">
      <c r="A6" s="7">
        <v>77112.0</v>
      </c>
      <c r="B6" s="7">
        <v>3.600153458E9</v>
      </c>
      <c r="C6" s="15" t="s">
        <v>50</v>
      </c>
      <c r="D6" s="15" t="s">
        <v>33</v>
      </c>
      <c r="E6" s="8" t="s">
        <v>51</v>
      </c>
      <c r="F6" s="8" t="s">
        <v>52</v>
      </c>
      <c r="G6" s="16">
        <v>2011.0</v>
      </c>
      <c r="H6" s="8" t="s">
        <v>36</v>
      </c>
      <c r="I6" s="8" t="str">
        <f t="array" ref="I6">IFERROR(XLOOKUP(A6,RESPOSTAS!B:B,RESPOSTAS!C:C,"",0,-1),"Sem valor")</f>
        <v/>
      </c>
      <c r="J6" s="8" t="str">
        <f t="array" ref="J6">IFERROR(XLOOKUP(A6,RESPOSTAS!B:B,RESPOSTAS!D:D,"",0,-1),"Sem valor")</f>
        <v>Sem informações</v>
      </c>
      <c r="K6" s="8" t="str">
        <f t="array" ref="K6">IFERROR(XLOOKUP(A6,RESPOSTAS!B:B,RESPOSTAS!E:E,"",0,-1),"Sem valor")</f>
        <v/>
      </c>
      <c r="L6" s="8" t="s">
        <v>53</v>
      </c>
      <c r="M6" s="8" t="s">
        <v>54</v>
      </c>
      <c r="N6" s="8" t="s">
        <v>39</v>
      </c>
      <c r="O6" s="12" t="s">
        <v>40</v>
      </c>
      <c r="P6" s="12" t="s">
        <v>39</v>
      </c>
      <c r="Q6" s="8" t="s">
        <v>36</v>
      </c>
      <c r="R6" s="8" t="s">
        <v>39</v>
      </c>
      <c r="S6" s="8" t="s">
        <v>39</v>
      </c>
      <c r="T6" s="8"/>
      <c r="U6" s="8" t="str">
        <f t="array" ref="U6">IFERROR(XLOOKUP(A6,RESPOSTAS!B:B,RESPOSTAS!F:F,"",0,-1),"Sem valor")</f>
        <v/>
      </c>
      <c r="V6" s="14" t="s">
        <v>55</v>
      </c>
    </row>
    <row r="7" hidden="1">
      <c r="A7" s="7">
        <v>77111.0</v>
      </c>
      <c r="B7" s="7">
        <v>3.60015346E9</v>
      </c>
      <c r="C7" s="15" t="s">
        <v>50</v>
      </c>
      <c r="D7" s="15" t="s">
        <v>33</v>
      </c>
      <c r="E7" s="8" t="s">
        <v>51</v>
      </c>
      <c r="F7" s="8" t="s">
        <v>52</v>
      </c>
      <c r="G7" s="16">
        <v>2011.0</v>
      </c>
      <c r="H7" s="8" t="s">
        <v>36</v>
      </c>
      <c r="I7" s="8" t="str">
        <f t="array" ref="I7">IFERROR(XLOOKUP(A7,RESPOSTAS!B:B,RESPOSTAS!C:C,"",0,-1),"Sem valor")</f>
        <v/>
      </c>
      <c r="J7" s="8" t="str">
        <f t="array" ref="J7">IFERROR(XLOOKUP(A7,RESPOSTAS!B:B,RESPOSTAS!D:D,"",0,-1),"Sem valor")</f>
        <v>Sem informações</v>
      </c>
      <c r="K7" s="8" t="str">
        <f t="array" ref="K7">IFERROR(XLOOKUP(A7,RESPOSTAS!B:B,RESPOSTAS!E:E,"",0,-1),"Sem valor")</f>
        <v/>
      </c>
      <c r="L7" s="8" t="s">
        <v>56</v>
      </c>
      <c r="M7" s="8" t="s">
        <v>57</v>
      </c>
      <c r="N7" s="8" t="s">
        <v>39</v>
      </c>
      <c r="O7" s="12" t="s">
        <v>40</v>
      </c>
      <c r="P7" s="12" t="s">
        <v>39</v>
      </c>
      <c r="Q7" s="8" t="s">
        <v>36</v>
      </c>
      <c r="R7" s="8" t="s">
        <v>39</v>
      </c>
      <c r="S7" s="8" t="s">
        <v>39</v>
      </c>
      <c r="T7" s="8"/>
      <c r="U7" s="8" t="str">
        <f t="array" ref="U7">IFERROR(XLOOKUP(A7,RESPOSTAS!B:B,RESPOSTAS!F:F,"",0,-1),"Sem valor")</f>
        <v/>
      </c>
      <c r="V7" s="14" t="s">
        <v>58</v>
      </c>
    </row>
    <row r="8" hidden="1">
      <c r="A8" s="7">
        <v>77121.0</v>
      </c>
      <c r="B8" s="7">
        <v>3.600154371E9</v>
      </c>
      <c r="C8" s="15" t="s">
        <v>50</v>
      </c>
      <c r="D8" s="15" t="s">
        <v>33</v>
      </c>
      <c r="E8" s="8" t="s">
        <v>59</v>
      </c>
      <c r="F8" s="8" t="s">
        <v>60</v>
      </c>
      <c r="G8" s="13">
        <v>2011.0</v>
      </c>
      <c r="H8" s="8" t="s">
        <v>36</v>
      </c>
      <c r="I8" s="8" t="str">
        <f t="array" ref="I8">IFERROR(XLOOKUP(A8,RESPOSTAS!B:B,RESPOSTAS!C:C,"",0,-1),"Sem valor")</f>
        <v/>
      </c>
      <c r="J8" s="8" t="str">
        <f t="array" ref="J8">IFERROR(XLOOKUP(A8,RESPOSTAS!B:B,RESPOSTAS!D:D,"",0,-1),"Sem valor")</f>
        <v>Sem informações</v>
      </c>
      <c r="K8" s="8" t="str">
        <f t="array" ref="K8">IFERROR(XLOOKUP(A8,RESPOSTAS!B:B,RESPOSTAS!E:E,"",0,-1),"Sem valor")</f>
        <v/>
      </c>
      <c r="L8" s="8" t="s">
        <v>61</v>
      </c>
      <c r="M8" s="16">
        <v>171.0</v>
      </c>
      <c r="N8" s="8" t="s">
        <v>39</v>
      </c>
      <c r="O8" s="12" t="s">
        <v>40</v>
      </c>
      <c r="P8" s="12" t="s">
        <v>39</v>
      </c>
      <c r="Q8" s="8" t="s">
        <v>36</v>
      </c>
      <c r="R8" s="8" t="s">
        <v>39</v>
      </c>
      <c r="S8" s="8" t="s">
        <v>39</v>
      </c>
      <c r="T8" s="8"/>
      <c r="U8" s="8" t="str">
        <f t="array" ref="U8">IFERROR(XLOOKUP(A8,RESPOSTAS!B:B,RESPOSTAS!F:F,"",0,-1),"Sem valor")</f>
        <v/>
      </c>
      <c r="V8" s="14" t="s">
        <v>62</v>
      </c>
    </row>
    <row r="9" hidden="1">
      <c r="A9" s="7">
        <v>77117.0</v>
      </c>
      <c r="B9" s="7">
        <v>3.600159566E9</v>
      </c>
      <c r="C9" s="15" t="s">
        <v>50</v>
      </c>
      <c r="D9" s="15" t="s">
        <v>33</v>
      </c>
      <c r="E9" s="8" t="s">
        <v>59</v>
      </c>
      <c r="F9" s="8" t="s">
        <v>60</v>
      </c>
      <c r="G9" s="13">
        <v>2011.0</v>
      </c>
      <c r="H9" s="8" t="s">
        <v>36</v>
      </c>
      <c r="I9" s="8" t="str">
        <f t="array" ref="I9">IFERROR(XLOOKUP(A9,RESPOSTAS!B:B,RESPOSTAS!C:C,"",0,-1),"Sem valor")</f>
        <v/>
      </c>
      <c r="J9" s="8" t="str">
        <f t="array" ref="J9">IFERROR(XLOOKUP(A9,RESPOSTAS!B:B,RESPOSTAS!D:D,"",0,-1),"Sem valor")</f>
        <v>Sem informações</v>
      </c>
      <c r="K9" s="8" t="str">
        <f t="array" ref="K9">IFERROR(XLOOKUP(A9,RESPOSTAS!B:B,RESPOSTAS!E:E,"",0,-1),"Sem valor")</f>
        <v/>
      </c>
      <c r="L9" s="8" t="s">
        <v>63</v>
      </c>
      <c r="M9" s="16">
        <v>173.0</v>
      </c>
      <c r="N9" s="8" t="s">
        <v>39</v>
      </c>
      <c r="O9" s="12" t="s">
        <v>40</v>
      </c>
      <c r="P9" s="12" t="s">
        <v>39</v>
      </c>
      <c r="Q9" s="8" t="s">
        <v>36</v>
      </c>
      <c r="R9" s="8" t="s">
        <v>39</v>
      </c>
      <c r="S9" s="8" t="s">
        <v>39</v>
      </c>
      <c r="T9" s="8"/>
      <c r="U9" s="8" t="str">
        <f t="array" ref="U9">IFERROR(XLOOKUP(A9,RESPOSTAS!B:B,RESPOSTAS!F:F,"",0,-1),"Sem valor")</f>
        <v/>
      </c>
      <c r="V9" s="14" t="s">
        <v>64</v>
      </c>
    </row>
    <row r="10" hidden="1">
      <c r="A10" s="7">
        <v>77118.0</v>
      </c>
      <c r="B10" s="7">
        <v>3.600159574E9</v>
      </c>
      <c r="C10" s="15" t="s">
        <v>50</v>
      </c>
      <c r="D10" s="15" t="s">
        <v>33</v>
      </c>
      <c r="E10" s="8" t="s">
        <v>59</v>
      </c>
      <c r="F10" s="8" t="s">
        <v>60</v>
      </c>
      <c r="G10" s="13">
        <v>2011.0</v>
      </c>
      <c r="H10" s="8" t="s">
        <v>36</v>
      </c>
      <c r="I10" s="8" t="str">
        <f t="array" ref="I10">IFERROR(XLOOKUP(A10,RESPOSTAS!B:B,RESPOSTAS!C:C,"",0,-1),"Sem valor")</f>
        <v/>
      </c>
      <c r="J10" s="8" t="str">
        <f t="array" ref="J10">IFERROR(XLOOKUP(A10,RESPOSTAS!B:B,RESPOSTAS!D:D,"",0,-1),"Sem valor")</f>
        <v>Sem informações</v>
      </c>
      <c r="K10" s="8" t="str">
        <f t="array" ref="K10">IFERROR(XLOOKUP(A10,RESPOSTAS!B:B,RESPOSTAS!E:E,"",0,-1),"Sem valor")</f>
        <v/>
      </c>
      <c r="L10" s="8" t="s">
        <v>65</v>
      </c>
      <c r="M10" s="16">
        <v>175.0</v>
      </c>
      <c r="N10" s="8" t="s">
        <v>39</v>
      </c>
      <c r="O10" s="12" t="s">
        <v>40</v>
      </c>
      <c r="P10" s="12" t="s">
        <v>39</v>
      </c>
      <c r="Q10" s="8" t="s">
        <v>36</v>
      </c>
      <c r="R10" s="8" t="s">
        <v>39</v>
      </c>
      <c r="S10" s="8" t="s">
        <v>39</v>
      </c>
      <c r="T10" s="8"/>
      <c r="U10" s="8" t="str">
        <f t="array" ref="U10">IFERROR(XLOOKUP(A10,RESPOSTAS!B:B,RESPOSTAS!F:F,"",0,-1),"Sem valor")</f>
        <v/>
      </c>
      <c r="V10" s="14" t="s">
        <v>66</v>
      </c>
    </row>
    <row r="11" hidden="1">
      <c r="A11" s="7">
        <v>77119.0</v>
      </c>
      <c r="B11" s="7">
        <v>3.600159578E9</v>
      </c>
      <c r="C11" s="15" t="s">
        <v>50</v>
      </c>
      <c r="D11" s="15" t="s">
        <v>33</v>
      </c>
      <c r="E11" s="8" t="s">
        <v>67</v>
      </c>
      <c r="F11" s="8" t="s">
        <v>68</v>
      </c>
      <c r="G11" s="8" t="s">
        <v>31</v>
      </c>
      <c r="H11" s="8" t="s">
        <v>36</v>
      </c>
      <c r="I11" s="8" t="str">
        <f t="array" ref="I11">IFERROR(XLOOKUP(A11,RESPOSTAS!B:B,RESPOSTAS!C:C,"",0,-1),"Sem valor")</f>
        <v/>
      </c>
      <c r="J11" s="8" t="str">
        <f t="array" ref="J11">IFERROR(XLOOKUP(A11,RESPOSTAS!B:B,RESPOSTAS!D:D,"",0,-1),"Sem valor")</f>
        <v>Sem informações</v>
      </c>
      <c r="K11" s="8" t="str">
        <f t="array" ref="K11">IFERROR(XLOOKUP(A11,RESPOSTAS!B:B,RESPOSTAS!E:E,"",0,-1),"Sem valor")</f>
        <v/>
      </c>
      <c r="L11" s="8" t="s">
        <v>40</v>
      </c>
      <c r="M11" s="8" t="s">
        <v>69</v>
      </c>
      <c r="N11" s="8" t="s">
        <v>39</v>
      </c>
      <c r="O11" s="12" t="s">
        <v>40</v>
      </c>
      <c r="P11" s="12" t="s">
        <v>39</v>
      </c>
      <c r="Q11" s="8" t="s">
        <v>36</v>
      </c>
      <c r="R11" s="8" t="s">
        <v>39</v>
      </c>
      <c r="S11" s="8" t="s">
        <v>39</v>
      </c>
      <c r="T11" s="8"/>
      <c r="U11" s="8" t="str">
        <f t="array" ref="U11">IFERROR(XLOOKUP(A11,RESPOSTAS!B:B,RESPOSTAS!F:F,"",0,-1),"Sem valor")</f>
        <v/>
      </c>
      <c r="V11" s="14" t="s">
        <v>70</v>
      </c>
    </row>
    <row r="12" hidden="1">
      <c r="A12" s="7">
        <v>552942.0</v>
      </c>
      <c r="B12" s="7">
        <v>3.600182242E9</v>
      </c>
      <c r="C12" s="8" t="s">
        <v>32</v>
      </c>
      <c r="D12" s="8" t="s">
        <v>33</v>
      </c>
      <c r="E12" s="8" t="s">
        <v>71</v>
      </c>
      <c r="F12" s="8" t="s">
        <v>72</v>
      </c>
      <c r="G12" s="8" t="s">
        <v>73</v>
      </c>
      <c r="H12" s="8" t="s">
        <v>74</v>
      </c>
      <c r="I12" s="8" t="str">
        <f t="array" ref="I12">IFERROR(XLOOKUP(A12,RESPOSTAS!B:B,RESPOSTAS!C:C,"",0,-1),"Sem valor")</f>
        <v/>
      </c>
      <c r="J12" s="8" t="str">
        <f t="array" ref="J12">IFERROR(XLOOKUP(A12,RESPOSTAS!B:B,RESPOSTAS!D:D,"",0,-1),"Sem valor")</f>
        <v>Indisponível</v>
      </c>
      <c r="K12" s="8" t="str">
        <f t="array" ref="K12">IFERROR(XLOOKUP(A12,RESPOSTAS!B:B,RESPOSTAS!E:E,"",0,-1),"Sem valor")</f>
        <v/>
      </c>
      <c r="L12" s="17">
        <v>18.0</v>
      </c>
      <c r="M12" s="8" t="s">
        <v>75</v>
      </c>
      <c r="N12" s="8" t="s">
        <v>39</v>
      </c>
      <c r="O12" s="11">
        <v>3.600213121E9</v>
      </c>
      <c r="P12" s="12" t="s">
        <v>76</v>
      </c>
      <c r="Q12" s="8" t="s">
        <v>31</v>
      </c>
      <c r="R12" s="8" t="s">
        <v>31</v>
      </c>
      <c r="S12" s="8" t="s">
        <v>31</v>
      </c>
      <c r="T12" s="8"/>
      <c r="U12" s="8" t="str">
        <f t="array" ref="U12">IFERROR(XLOOKUP(A12,RESPOSTAS!B:B,RESPOSTAS!F:F,"",0,-1),"Sem valor")</f>
        <v/>
      </c>
      <c r="V12" s="8"/>
    </row>
    <row r="13" hidden="1">
      <c r="A13" s="7">
        <v>554285.0</v>
      </c>
      <c r="B13" s="7">
        <v>3.600275708E9</v>
      </c>
      <c r="C13" s="8" t="s">
        <v>32</v>
      </c>
      <c r="D13" s="8" t="s">
        <v>33</v>
      </c>
      <c r="E13" s="8" t="s">
        <v>77</v>
      </c>
      <c r="F13" s="8" t="s">
        <v>78</v>
      </c>
      <c r="G13" s="8" t="s">
        <v>26</v>
      </c>
      <c r="H13" s="8" t="s">
        <v>74</v>
      </c>
      <c r="I13" s="8" t="str">
        <f t="array" ref="I13">IFERROR(XLOOKUP(A13,RESPOSTAS!B:B,RESPOSTAS!C:C,"",0,-1),"Sem valor")</f>
        <v/>
      </c>
      <c r="J13" s="8" t="str">
        <f t="array" ref="J13">IFERROR(XLOOKUP(A13,RESPOSTAS!B:B,RESPOSTAS!D:D,"",0,-1),"Sem valor")</f>
        <v>Disponível</v>
      </c>
      <c r="K13" s="8" t="str">
        <f t="array" ref="K13">IFERROR(XLOOKUP(A13,RESPOSTAS!B:B,RESPOSTAS!E:E,"",0,-1),"Sem valor")</f>
        <v/>
      </c>
      <c r="L13" s="9" t="s">
        <v>79</v>
      </c>
      <c r="M13" s="8" t="s">
        <v>80</v>
      </c>
      <c r="N13" s="7">
        <v>3.600275743E9</v>
      </c>
      <c r="O13" s="11">
        <v>3.600213007E9</v>
      </c>
      <c r="P13" s="12" t="s">
        <v>81</v>
      </c>
      <c r="Q13" s="8" t="s">
        <v>31</v>
      </c>
      <c r="R13" s="8" t="s">
        <v>31</v>
      </c>
      <c r="S13" s="8" t="s">
        <v>31</v>
      </c>
      <c r="T13" s="8"/>
      <c r="U13" s="8" t="str">
        <f t="array" ref="U13">IFERROR(XLOOKUP(A13,RESPOSTAS!B:B,RESPOSTAS!F:F,"",0,-1),"Sem valor")</f>
        <v/>
      </c>
      <c r="V13" s="14" t="s">
        <v>82</v>
      </c>
    </row>
    <row r="14" hidden="1">
      <c r="A14" s="7">
        <v>442065.0</v>
      </c>
      <c r="B14" s="7">
        <v>3.600258744E9</v>
      </c>
      <c r="C14" s="8" t="s">
        <v>83</v>
      </c>
      <c r="D14" s="8" t="s">
        <v>23</v>
      </c>
      <c r="E14" s="8" t="s">
        <v>51</v>
      </c>
      <c r="F14" s="8" t="s">
        <v>84</v>
      </c>
      <c r="G14" s="8" t="s">
        <v>26</v>
      </c>
      <c r="H14" s="8" t="s">
        <v>27</v>
      </c>
      <c r="I14" s="8" t="str">
        <f t="array" ref="I14">IFERROR(XLOOKUP(A14,RESPOSTAS!B:B,RESPOSTAS!C:C,"",0,-1),"Sem valor")</f>
        <v/>
      </c>
      <c r="J14" s="8" t="str">
        <f t="array" ref="J14">IFERROR(XLOOKUP(A14,RESPOSTAS!B:B,RESPOSTAS!D:D,"",0,-1),"Sem valor")</f>
        <v>Disponível</v>
      </c>
      <c r="K14" s="8" t="str">
        <f t="array" ref="K14">IFERROR(XLOOKUP(A14,RESPOSTAS!B:B,RESPOSTAS!E:E,"",0,-1),"Sem valor")</f>
        <v/>
      </c>
      <c r="L14" s="9" t="s">
        <v>85</v>
      </c>
      <c r="M14" s="8" t="s">
        <v>86</v>
      </c>
      <c r="N14" s="7">
        <v>3.600258844E9</v>
      </c>
      <c r="O14" s="12" t="s">
        <v>40</v>
      </c>
      <c r="P14" s="12" t="s">
        <v>39</v>
      </c>
      <c r="Q14" s="8" t="s">
        <v>87</v>
      </c>
      <c r="R14" s="8" t="s">
        <v>31</v>
      </c>
      <c r="S14" s="8" t="s">
        <v>31</v>
      </c>
      <c r="T14" s="8"/>
      <c r="U14" s="8" t="str">
        <f t="array" ref="U14">IFERROR(XLOOKUP(A14,RESPOSTAS!B:B,RESPOSTAS!F:F,"",0,-1),"Sem valor")</f>
        <v/>
      </c>
      <c r="V14" s="8"/>
    </row>
    <row r="15" hidden="1">
      <c r="A15" s="7">
        <v>442066.0</v>
      </c>
      <c r="B15" s="7">
        <v>3.600258745E9</v>
      </c>
      <c r="C15" s="8" t="s">
        <v>83</v>
      </c>
      <c r="D15" s="8" t="s">
        <v>23</v>
      </c>
      <c r="E15" s="8" t="s">
        <v>51</v>
      </c>
      <c r="F15" s="8" t="s">
        <v>84</v>
      </c>
      <c r="G15" s="8" t="s">
        <v>26</v>
      </c>
      <c r="H15" s="8" t="s">
        <v>27</v>
      </c>
      <c r="I15" s="8" t="str">
        <f t="array" ref="I15">IFERROR(XLOOKUP(A15,RESPOSTAS!B:B,RESPOSTAS!C:C,"",0,-1),"Sem valor")</f>
        <v/>
      </c>
      <c r="J15" s="8" t="str">
        <f t="array" ref="J15">IFERROR(XLOOKUP(A15,RESPOSTAS!B:B,RESPOSTAS!D:D,"",0,-1),"Sem valor")</f>
        <v>Disponível</v>
      </c>
      <c r="K15" s="8" t="str">
        <f t="array" ref="K15">IFERROR(XLOOKUP(A15,RESPOSTAS!B:B,RESPOSTAS!E:E,"",0,-1),"Sem valor")</f>
        <v/>
      </c>
      <c r="L15" s="9" t="s">
        <v>88</v>
      </c>
      <c r="M15" s="8" t="s">
        <v>89</v>
      </c>
      <c r="N15" s="7">
        <v>3.600258845E9</v>
      </c>
      <c r="O15" s="12" t="s">
        <v>40</v>
      </c>
      <c r="P15" s="12" t="s">
        <v>39</v>
      </c>
      <c r="Q15" s="8" t="s">
        <v>90</v>
      </c>
      <c r="R15" s="8" t="s">
        <v>31</v>
      </c>
      <c r="S15" s="8" t="s">
        <v>31</v>
      </c>
      <c r="T15" s="8"/>
      <c r="U15" s="8" t="str">
        <f t="array" ref="U15">IFERROR(XLOOKUP(A15,RESPOSTAS!B:B,RESPOSTAS!F:F,"",0,-1),"Sem valor")</f>
        <v/>
      </c>
      <c r="V15" s="8"/>
    </row>
    <row r="16">
      <c r="A16" s="7">
        <v>554496.0</v>
      </c>
      <c r="B16" s="7">
        <v>2.00198856E8</v>
      </c>
      <c r="C16" s="8" t="s">
        <v>91</v>
      </c>
      <c r="D16" s="8" t="s">
        <v>33</v>
      </c>
      <c r="E16" s="8" t="s">
        <v>92</v>
      </c>
      <c r="F16" s="8" t="s">
        <v>93</v>
      </c>
      <c r="G16" s="13">
        <v>2022.0</v>
      </c>
      <c r="H16" s="8" t="s">
        <v>31</v>
      </c>
      <c r="I16" s="8" t="str">
        <f t="array" ref="I16">IFERROR(XLOOKUP(A16,RESPOSTAS!B:B,RESPOSTAS!C:C,"",0,-1),"Sem valor")</f>
        <v/>
      </c>
      <c r="J16" s="8" t="str">
        <f t="array" ref="J16">IFERROR(XLOOKUP(A16,RESPOSTAS!B:B,RESPOSTAS!D:D,"",0,-1),"Sem valor")</f>
        <v>Disponível</v>
      </c>
      <c r="K16" s="8" t="str">
        <f t="array" ref="K16">IFERROR(XLOOKUP(A16,RESPOSTAS!B:B,RESPOSTAS!E:E,"",0,-1),"Sem valor")</f>
        <v/>
      </c>
      <c r="L16" s="9" t="s">
        <v>94</v>
      </c>
      <c r="M16" s="10" t="s">
        <v>95</v>
      </c>
      <c r="N16" s="8" t="s">
        <v>96</v>
      </c>
      <c r="O16" s="18" t="s">
        <v>31</v>
      </c>
      <c r="P16" s="12" t="s">
        <v>31</v>
      </c>
      <c r="Q16" s="8" t="s">
        <v>31</v>
      </c>
      <c r="R16" s="8" t="s">
        <v>31</v>
      </c>
      <c r="S16" s="8" t="s">
        <v>31</v>
      </c>
      <c r="T16" s="8"/>
      <c r="U16" s="8" t="str">
        <f t="array" ref="U16">IFERROR(XLOOKUP(A16,RESPOSTAS!B:B,RESPOSTAS!F:F,"",0,-1),"Sem valor")</f>
        <v/>
      </c>
      <c r="V16" s="14" t="s">
        <v>97</v>
      </c>
    </row>
    <row r="17">
      <c r="A17" s="7">
        <v>554544.0</v>
      </c>
      <c r="B17" s="7">
        <v>2.00199058E8</v>
      </c>
      <c r="C17" s="8" t="s">
        <v>91</v>
      </c>
      <c r="D17" s="15" t="s">
        <v>33</v>
      </c>
      <c r="E17" s="8" t="s">
        <v>98</v>
      </c>
      <c r="F17" s="8" t="s">
        <v>99</v>
      </c>
      <c r="G17" s="13">
        <v>2023.0</v>
      </c>
      <c r="H17" s="8" t="s">
        <v>27</v>
      </c>
      <c r="I17" s="8" t="str">
        <f t="array" ref="I17">IFERROR(XLOOKUP(A17,RESPOSTAS!B:B,RESPOSTAS!C:C,"",0,-1),"Sem valor")</f>
        <v/>
      </c>
      <c r="J17" s="8" t="str">
        <f t="array" ref="J17">IFERROR(XLOOKUP(A17,RESPOSTAS!B:B,RESPOSTAS!D:D,"",0,-1),"Sem valor")</f>
        <v>Disponível</v>
      </c>
      <c r="K17" s="8" t="str">
        <f t="array" ref="K17">IFERROR(XLOOKUP(A17,RESPOSTAS!B:B,RESPOSTAS!E:E,"",0,-1),"Sem valor")</f>
        <v/>
      </c>
      <c r="L17" s="8" t="s">
        <v>100</v>
      </c>
      <c r="M17" s="8" t="s">
        <v>101</v>
      </c>
      <c r="N17" s="8" t="s">
        <v>96</v>
      </c>
      <c r="O17" s="18" t="s">
        <v>31</v>
      </c>
      <c r="P17" s="12" t="s">
        <v>31</v>
      </c>
      <c r="Q17" s="8" t="s">
        <v>31</v>
      </c>
      <c r="R17" s="8" t="s">
        <v>31</v>
      </c>
      <c r="S17" s="8" t="s">
        <v>31</v>
      </c>
      <c r="T17" s="8"/>
      <c r="U17" s="8" t="str">
        <f t="array" ref="U17">IFERROR(XLOOKUP(A17,RESPOSTAS!B:B,RESPOSTAS!F:F,"",0,-1),"Sem valor")</f>
        <v/>
      </c>
      <c r="V17" s="8"/>
    </row>
    <row r="18">
      <c r="A18" s="7">
        <v>554545.0</v>
      </c>
      <c r="B18" s="7">
        <v>2.00199059E8</v>
      </c>
      <c r="C18" s="8" t="s">
        <v>91</v>
      </c>
      <c r="D18" s="15" t="s">
        <v>33</v>
      </c>
      <c r="E18" s="8" t="s">
        <v>98</v>
      </c>
      <c r="F18" s="8" t="s">
        <v>99</v>
      </c>
      <c r="G18" s="13">
        <v>2023.0</v>
      </c>
      <c r="H18" s="8" t="s">
        <v>27</v>
      </c>
      <c r="I18" s="8" t="str">
        <f t="array" ref="I18">IFERROR(XLOOKUP(A18,RESPOSTAS!B:B,RESPOSTAS!C:C,"",0,-1),"Sem valor")</f>
        <v/>
      </c>
      <c r="J18" s="8" t="str">
        <f t="array" ref="J18">IFERROR(XLOOKUP(A18,RESPOSTAS!B:B,RESPOSTAS!D:D,"",0,-1),"Sem valor")</f>
        <v>Disponível</v>
      </c>
      <c r="K18" s="8" t="str">
        <f t="array" ref="K18">IFERROR(XLOOKUP(A18,RESPOSTAS!B:B,RESPOSTAS!E:E,"",0,-1),"Sem valor")</f>
        <v/>
      </c>
      <c r="L18" s="8" t="s">
        <v>102</v>
      </c>
      <c r="M18" s="8" t="s">
        <v>103</v>
      </c>
      <c r="N18" s="8" t="s">
        <v>96</v>
      </c>
      <c r="O18" s="18" t="s">
        <v>31</v>
      </c>
      <c r="P18" s="12" t="s">
        <v>31</v>
      </c>
      <c r="Q18" s="8" t="s">
        <v>104</v>
      </c>
      <c r="R18" s="8" t="s">
        <v>31</v>
      </c>
      <c r="S18" s="8" t="s">
        <v>31</v>
      </c>
      <c r="T18" s="8"/>
      <c r="U18" s="8" t="str">
        <f t="array" ref="U18">IFERROR(XLOOKUP(A18,RESPOSTAS!B:B,RESPOSTAS!F:F,"",0,-1),"Sem valor")</f>
        <v/>
      </c>
      <c r="V18" s="8"/>
    </row>
    <row r="19">
      <c r="A19" s="7">
        <v>552520.0</v>
      </c>
      <c r="B19" s="7">
        <v>3.600176276E9</v>
      </c>
      <c r="C19" s="8" t="s">
        <v>91</v>
      </c>
      <c r="D19" s="8" t="s">
        <v>105</v>
      </c>
      <c r="E19" s="8" t="s">
        <v>98</v>
      </c>
      <c r="F19" s="8" t="s">
        <v>106</v>
      </c>
      <c r="G19" s="8" t="s">
        <v>73</v>
      </c>
      <c r="H19" s="8" t="s">
        <v>27</v>
      </c>
      <c r="I19" s="8" t="str">
        <f t="array" ref="I19">IFERROR(XLOOKUP(A19,RESPOSTAS!B:B,RESPOSTAS!C:C,"",0,-1),"Sem valor")</f>
        <v/>
      </c>
      <c r="J19" s="8" t="str">
        <f t="array" ref="J19">IFERROR(XLOOKUP(A19,RESPOSTAS!B:B,RESPOSTAS!D:D,"",0,-1),"Sem valor")</f>
        <v>Indisponível</v>
      </c>
      <c r="K19" s="8" t="str">
        <f t="array" ref="K19">IFERROR(XLOOKUP(A19,RESPOSTAS!B:B,RESPOSTAS!E:E,"",0,-1),"Sem valor")</f>
        <v/>
      </c>
      <c r="L19" s="9" t="s">
        <v>31</v>
      </c>
      <c r="M19" s="19" t="s">
        <v>107</v>
      </c>
      <c r="N19" s="8" t="s">
        <v>39</v>
      </c>
      <c r="O19" s="12" t="s">
        <v>40</v>
      </c>
      <c r="P19" s="12" t="s">
        <v>39</v>
      </c>
      <c r="Q19" s="14" t="s">
        <v>27</v>
      </c>
      <c r="R19" s="8"/>
      <c r="S19" s="8"/>
      <c r="T19" s="8"/>
      <c r="U19" s="8" t="str">
        <f t="array" ref="U19">IFERROR(XLOOKUP(A19,RESPOSTAS!B:B,RESPOSTAS!F:F,"",0,-1),"Sem valor")</f>
        <v/>
      </c>
      <c r="V19" s="14" t="s">
        <v>108</v>
      </c>
    </row>
    <row r="20">
      <c r="A20" s="7">
        <v>553218.0</v>
      </c>
      <c r="B20" s="7">
        <v>3.600205299E9</v>
      </c>
      <c r="C20" s="8" t="s">
        <v>91</v>
      </c>
      <c r="D20" s="8" t="s">
        <v>33</v>
      </c>
      <c r="E20" s="8" t="s">
        <v>92</v>
      </c>
      <c r="F20" s="8" t="s">
        <v>109</v>
      </c>
      <c r="G20" s="13">
        <v>2014.0</v>
      </c>
      <c r="H20" s="8" t="s">
        <v>27</v>
      </c>
      <c r="I20" s="8" t="str">
        <f t="array" ref="I20">IFERROR(XLOOKUP(A20,RESPOSTAS!B:B,RESPOSTAS!C:C,"",0,-1),"Sem valor")</f>
        <v/>
      </c>
      <c r="J20" s="8" t="str">
        <f t="array" ref="J20">IFERROR(XLOOKUP(A20,RESPOSTAS!B:B,RESPOSTAS!D:D,"",0,-1),"Sem valor")</f>
        <v>Descarga</v>
      </c>
      <c r="K20" s="8" t="str">
        <f t="array" ref="K20">IFERROR(XLOOKUP(A20,RESPOSTAS!B:B,RESPOSTAS!E:E,"",0,-1),"Sem valor")</f>
        <v/>
      </c>
      <c r="L20" s="9" t="s">
        <v>110</v>
      </c>
      <c r="M20" s="8" t="s">
        <v>111</v>
      </c>
      <c r="N20" s="8" t="s">
        <v>39</v>
      </c>
      <c r="O20" s="12" t="s">
        <v>40</v>
      </c>
      <c r="P20" s="12" t="s">
        <v>39</v>
      </c>
      <c r="Q20" s="8" t="s">
        <v>31</v>
      </c>
      <c r="R20" s="8" t="s">
        <v>31</v>
      </c>
      <c r="S20" s="8" t="s">
        <v>31</v>
      </c>
      <c r="T20" s="8"/>
      <c r="U20" s="8" t="str">
        <f t="array" ref="U20">IFERROR(XLOOKUP(A20,RESPOSTAS!B:B,RESPOSTAS!F:F,"",0,-1),"Sem valor")</f>
        <v/>
      </c>
      <c r="V20" s="8"/>
    </row>
    <row r="21">
      <c r="A21" s="7">
        <v>553206.0</v>
      </c>
      <c r="B21" s="7">
        <v>3.6002053E9</v>
      </c>
      <c r="C21" s="8" t="s">
        <v>91</v>
      </c>
      <c r="D21" s="8" t="s">
        <v>33</v>
      </c>
      <c r="E21" s="8" t="s">
        <v>92</v>
      </c>
      <c r="F21" s="8" t="s">
        <v>109</v>
      </c>
      <c r="G21" s="13">
        <v>2014.0</v>
      </c>
      <c r="H21" s="8" t="s">
        <v>27</v>
      </c>
      <c r="I21" s="8" t="str">
        <f t="array" ref="I21">IFERROR(XLOOKUP(A21,RESPOSTAS!B:B,RESPOSTAS!C:C,"",0,-1),"Sem valor")</f>
        <v/>
      </c>
      <c r="J21" s="8" t="str">
        <f t="array" ref="J21">IFERROR(XLOOKUP(A21,RESPOSTAS!B:B,RESPOSTAS!D:D,"",0,-1),"Sem valor")</f>
        <v>Disponível</v>
      </c>
      <c r="K21" s="8" t="str">
        <f t="array" ref="K21">IFERROR(XLOOKUP(A21,RESPOSTAS!B:B,RESPOSTAS!E:E,"",0,-1),"Sem valor")</f>
        <v/>
      </c>
      <c r="L21" s="9" t="s">
        <v>112</v>
      </c>
      <c r="M21" s="8" t="s">
        <v>113</v>
      </c>
      <c r="N21" s="8" t="s">
        <v>39</v>
      </c>
      <c r="O21" s="12" t="s">
        <v>40</v>
      </c>
      <c r="P21" s="12" t="s">
        <v>39</v>
      </c>
      <c r="Q21" s="8" t="s">
        <v>31</v>
      </c>
      <c r="R21" s="8" t="s">
        <v>31</v>
      </c>
      <c r="S21" s="8" t="s">
        <v>31</v>
      </c>
      <c r="T21" s="8"/>
      <c r="U21" s="8" t="str">
        <f t="array" ref="U21">IFERROR(XLOOKUP(A21,RESPOSTAS!B:B,RESPOSTAS!F:F,"",0,-1),"Sem valor")</f>
        <v/>
      </c>
      <c r="V21" s="8"/>
    </row>
    <row r="22">
      <c r="A22" s="7">
        <v>553210.0</v>
      </c>
      <c r="B22" s="7">
        <v>3.600205301E9</v>
      </c>
      <c r="C22" s="8" t="s">
        <v>91</v>
      </c>
      <c r="D22" s="8" t="s">
        <v>33</v>
      </c>
      <c r="E22" s="8" t="s">
        <v>92</v>
      </c>
      <c r="F22" s="8" t="s">
        <v>109</v>
      </c>
      <c r="G22" s="13">
        <v>2014.0</v>
      </c>
      <c r="H22" s="8" t="s">
        <v>27</v>
      </c>
      <c r="I22" s="8" t="str">
        <f t="array" ref="I22">IFERROR(XLOOKUP(A22,RESPOSTAS!B:B,RESPOSTAS!C:C,"",0,-1),"Sem valor")</f>
        <v/>
      </c>
      <c r="J22" s="8" t="str">
        <f t="array" ref="J22">IFERROR(XLOOKUP(A22,RESPOSTAS!B:B,RESPOSTAS!D:D,"",0,-1),"Sem valor")</f>
        <v>Disponível</v>
      </c>
      <c r="K22" s="8" t="str">
        <f t="array" ref="K22">IFERROR(XLOOKUP(A22,RESPOSTAS!B:B,RESPOSTAS!E:E,"",0,-1),"Sem valor")</f>
        <v/>
      </c>
      <c r="L22" s="9" t="s">
        <v>114</v>
      </c>
      <c r="M22" s="8" t="s">
        <v>115</v>
      </c>
      <c r="N22" s="8" t="s">
        <v>39</v>
      </c>
      <c r="O22" s="12" t="s">
        <v>40</v>
      </c>
      <c r="P22" s="12" t="s">
        <v>39</v>
      </c>
      <c r="Q22" s="8" t="s">
        <v>31</v>
      </c>
      <c r="R22" s="8" t="s">
        <v>31</v>
      </c>
      <c r="S22" s="8" t="s">
        <v>31</v>
      </c>
      <c r="T22" s="8"/>
      <c r="U22" s="8" t="str">
        <f t="array" ref="U22">IFERROR(XLOOKUP(A22,RESPOSTAS!B:B,RESPOSTAS!F:F,"",0,-1),"Sem valor")</f>
        <v/>
      </c>
      <c r="V22" s="8"/>
    </row>
    <row r="23">
      <c r="A23" s="7">
        <v>553200.0</v>
      </c>
      <c r="B23" s="7">
        <v>3.600205306E9</v>
      </c>
      <c r="C23" s="8" t="s">
        <v>91</v>
      </c>
      <c r="D23" s="8" t="s">
        <v>33</v>
      </c>
      <c r="E23" s="8" t="s">
        <v>92</v>
      </c>
      <c r="F23" s="8" t="s">
        <v>109</v>
      </c>
      <c r="G23" s="13">
        <v>2014.0</v>
      </c>
      <c r="H23" s="8" t="s">
        <v>27</v>
      </c>
      <c r="I23" s="8" t="str">
        <f t="array" ref="I23">IFERROR(XLOOKUP(A23,RESPOSTAS!B:B,RESPOSTAS!C:C,"",0,-1),"Sem valor")</f>
        <v/>
      </c>
      <c r="J23" s="8" t="str">
        <f t="array" ref="J23">IFERROR(XLOOKUP(A23,RESPOSTAS!B:B,RESPOSTAS!D:D,"",0,-1),"Sem valor")</f>
        <v>Descarga</v>
      </c>
      <c r="K23" s="8" t="str">
        <f t="array" ref="K23">IFERROR(XLOOKUP(A23,RESPOSTAS!B:B,RESPOSTAS!E:E,"",0,-1),"Sem valor")</f>
        <v/>
      </c>
      <c r="L23" s="9" t="s">
        <v>116</v>
      </c>
      <c r="M23" s="8" t="s">
        <v>117</v>
      </c>
      <c r="N23" s="8" t="s">
        <v>39</v>
      </c>
      <c r="O23" s="11">
        <v>3.600213122E9</v>
      </c>
      <c r="P23" s="12" t="s">
        <v>118</v>
      </c>
      <c r="Q23" s="8" t="s">
        <v>31</v>
      </c>
      <c r="R23" s="8" t="s">
        <v>31</v>
      </c>
      <c r="S23" s="8" t="s">
        <v>31</v>
      </c>
      <c r="T23" s="8"/>
      <c r="U23" s="8" t="str">
        <f t="array" ref="U23">IFERROR(XLOOKUP(A23,RESPOSTAS!B:B,RESPOSTAS!F:F,"",0,-1),"Sem valor")</f>
        <v/>
      </c>
      <c r="V23" s="8"/>
    </row>
    <row r="24">
      <c r="A24" s="7">
        <v>553216.0</v>
      </c>
      <c r="B24" s="7">
        <v>3.600205309E9</v>
      </c>
      <c r="C24" s="8" t="s">
        <v>91</v>
      </c>
      <c r="D24" s="8" t="s">
        <v>33</v>
      </c>
      <c r="E24" s="8" t="s">
        <v>92</v>
      </c>
      <c r="F24" s="8" t="s">
        <v>109</v>
      </c>
      <c r="G24" s="13">
        <v>2014.0</v>
      </c>
      <c r="H24" s="8" t="s">
        <v>27</v>
      </c>
      <c r="I24" s="8" t="str">
        <f t="array" ref="I24">IFERROR(XLOOKUP(A24,RESPOSTAS!B:B,RESPOSTAS!C:C,"",0,-1),"Sem valor")</f>
        <v/>
      </c>
      <c r="J24" s="8" t="str">
        <f t="array" ref="J24">IFERROR(XLOOKUP(A24,RESPOSTAS!B:B,RESPOSTAS!D:D,"",0,-1),"Sem valor")</f>
        <v>Disponível</v>
      </c>
      <c r="K24" s="8" t="str">
        <f t="array" ref="K24">IFERROR(XLOOKUP(A24,RESPOSTAS!B:B,RESPOSTAS!E:E,"",0,-1),"Sem valor")</f>
        <v/>
      </c>
      <c r="L24" s="9" t="s">
        <v>119</v>
      </c>
      <c r="M24" s="8" t="s">
        <v>120</v>
      </c>
      <c r="N24" s="8" t="s">
        <v>39</v>
      </c>
      <c r="O24" s="11">
        <v>3.600213133E9</v>
      </c>
      <c r="P24" s="12" t="s">
        <v>121</v>
      </c>
      <c r="Q24" s="8" t="s">
        <v>31</v>
      </c>
      <c r="R24" s="8" t="s">
        <v>31</v>
      </c>
      <c r="S24" s="8" t="s">
        <v>31</v>
      </c>
      <c r="T24" s="8"/>
      <c r="U24" s="8" t="str">
        <f t="array" ref="U24">IFERROR(XLOOKUP(A24,RESPOSTAS!B:B,RESPOSTAS!F:F,"",0,-1),"Sem valor")</f>
        <v/>
      </c>
      <c r="V24" s="8"/>
    </row>
    <row r="25">
      <c r="A25" s="7">
        <v>553204.0</v>
      </c>
      <c r="B25" s="7">
        <v>3.60020531E9</v>
      </c>
      <c r="C25" s="8" t="s">
        <v>91</v>
      </c>
      <c r="D25" s="8" t="s">
        <v>33</v>
      </c>
      <c r="E25" s="8" t="s">
        <v>92</v>
      </c>
      <c r="F25" s="8" t="s">
        <v>109</v>
      </c>
      <c r="G25" s="13">
        <v>2014.0</v>
      </c>
      <c r="H25" s="8" t="s">
        <v>27</v>
      </c>
      <c r="I25" s="8" t="str">
        <f t="array" ref="I25">IFERROR(XLOOKUP(A25,RESPOSTAS!B:B,RESPOSTAS!C:C,"",0,-1),"Sem valor")</f>
        <v/>
      </c>
      <c r="J25" s="8" t="str">
        <f t="array" ref="J25">IFERROR(XLOOKUP(A25,RESPOSTAS!B:B,RESPOSTAS!D:D,"",0,-1),"Sem valor")</f>
        <v>Indisponível</v>
      </c>
      <c r="K25" s="8" t="str">
        <f t="array" ref="K25">IFERROR(XLOOKUP(A25,RESPOSTAS!B:B,RESPOSTAS!E:E,"",0,-1),"Sem valor")</f>
        <v/>
      </c>
      <c r="L25" s="9" t="s">
        <v>122</v>
      </c>
      <c r="M25" s="8" t="s">
        <v>123</v>
      </c>
      <c r="N25" s="8" t="s">
        <v>39</v>
      </c>
      <c r="O25" s="11">
        <v>3.600213142E9</v>
      </c>
      <c r="P25" s="12" t="s">
        <v>124</v>
      </c>
      <c r="Q25" s="8" t="s">
        <v>31</v>
      </c>
      <c r="R25" s="8" t="s">
        <v>31</v>
      </c>
      <c r="S25" s="8" t="s">
        <v>31</v>
      </c>
      <c r="T25" s="8"/>
      <c r="U25" s="8" t="str">
        <f t="array" ref="U25">IFERROR(XLOOKUP(A25,RESPOSTAS!B:B,RESPOSTAS!F:F,"",0,-1),"Sem valor")</f>
        <v/>
      </c>
      <c r="V25" s="8"/>
    </row>
    <row r="26">
      <c r="A26" s="7">
        <v>553215.0</v>
      </c>
      <c r="B26" s="7">
        <v>3.600205314E9</v>
      </c>
      <c r="C26" s="8" t="s">
        <v>91</v>
      </c>
      <c r="D26" s="8" t="s">
        <v>33</v>
      </c>
      <c r="E26" s="8" t="s">
        <v>92</v>
      </c>
      <c r="F26" s="8" t="s">
        <v>109</v>
      </c>
      <c r="G26" s="13">
        <v>2014.0</v>
      </c>
      <c r="H26" s="8" t="s">
        <v>27</v>
      </c>
      <c r="I26" s="8" t="str">
        <f t="array" ref="I26">IFERROR(XLOOKUP(A26,RESPOSTAS!B:B,RESPOSTAS!C:C,"",0,-1),"Sem valor")</f>
        <v/>
      </c>
      <c r="J26" s="8" t="str">
        <f t="array" ref="J26">IFERROR(XLOOKUP(A26,RESPOSTAS!B:B,RESPOSTAS!D:D,"",0,-1),"Sem valor")</f>
        <v>Disponível</v>
      </c>
      <c r="K26" s="8" t="str">
        <f t="array" ref="K26">IFERROR(XLOOKUP(A26,RESPOSTAS!B:B,RESPOSTAS!E:E,"",0,-1),"Sem valor")</f>
        <v/>
      </c>
      <c r="L26" s="9" t="s">
        <v>125</v>
      </c>
      <c r="M26" s="8" t="s">
        <v>126</v>
      </c>
      <c r="N26" s="8" t="s">
        <v>39</v>
      </c>
      <c r="O26" s="12" t="s">
        <v>40</v>
      </c>
      <c r="P26" s="12" t="s">
        <v>39</v>
      </c>
      <c r="Q26" s="8" t="s">
        <v>31</v>
      </c>
      <c r="R26" s="8" t="s">
        <v>31</v>
      </c>
      <c r="S26" s="8" t="s">
        <v>31</v>
      </c>
      <c r="T26" s="8"/>
      <c r="U26" s="8" t="str">
        <f t="array" ref="U26">IFERROR(XLOOKUP(A26,RESPOSTAS!B:B,RESPOSTAS!F:F,"",0,-1),"Sem valor")</f>
        <v/>
      </c>
      <c r="V26" s="14" t="s">
        <v>127</v>
      </c>
    </row>
    <row r="27">
      <c r="A27" s="7">
        <v>553217.0</v>
      </c>
      <c r="B27" s="7">
        <v>3.600205318E9</v>
      </c>
      <c r="C27" s="8" t="s">
        <v>91</v>
      </c>
      <c r="D27" s="8" t="s">
        <v>33</v>
      </c>
      <c r="E27" s="8" t="s">
        <v>92</v>
      </c>
      <c r="F27" s="8" t="s">
        <v>109</v>
      </c>
      <c r="G27" s="13">
        <v>2014.0</v>
      </c>
      <c r="H27" s="8" t="s">
        <v>27</v>
      </c>
      <c r="I27" s="8" t="str">
        <f t="array" ref="I27">IFERROR(XLOOKUP(A27,RESPOSTAS!B:B,RESPOSTAS!C:C,"",0,-1),"Sem valor")</f>
        <v/>
      </c>
      <c r="J27" s="8" t="str">
        <f t="array" ref="J27">IFERROR(XLOOKUP(A27,RESPOSTAS!B:B,RESPOSTAS!D:D,"",0,-1),"Sem valor")</f>
        <v>Indisponível</v>
      </c>
      <c r="K27" s="8" t="str">
        <f t="array" ref="K27">IFERROR(XLOOKUP(A27,RESPOSTAS!B:B,RESPOSTAS!E:E,"",0,-1),"Sem valor")</f>
        <v/>
      </c>
      <c r="L27" s="9" t="s">
        <v>128</v>
      </c>
      <c r="M27" s="8" t="s">
        <v>129</v>
      </c>
      <c r="N27" s="8" t="s">
        <v>39</v>
      </c>
      <c r="O27" s="11">
        <v>3.600213151E9</v>
      </c>
      <c r="P27" s="12" t="s">
        <v>130</v>
      </c>
      <c r="Q27" s="8" t="s">
        <v>104</v>
      </c>
      <c r="R27" s="8" t="s">
        <v>31</v>
      </c>
      <c r="S27" s="8" t="s">
        <v>31</v>
      </c>
      <c r="T27" s="8"/>
      <c r="U27" s="8" t="str">
        <f t="array" ref="U27">IFERROR(XLOOKUP(A27,RESPOSTAS!B:B,RESPOSTAS!F:F,"",0,-1),"Sem valor")</f>
        <v/>
      </c>
      <c r="V27" s="8"/>
    </row>
    <row r="28">
      <c r="A28" s="7">
        <v>553252.0</v>
      </c>
      <c r="B28" s="7">
        <v>3.600205325E9</v>
      </c>
      <c r="C28" s="8" t="s">
        <v>91</v>
      </c>
      <c r="D28" s="8" t="s">
        <v>33</v>
      </c>
      <c r="E28" s="8" t="s">
        <v>92</v>
      </c>
      <c r="F28" s="8" t="s">
        <v>109</v>
      </c>
      <c r="G28" s="13">
        <v>2014.0</v>
      </c>
      <c r="H28" s="8" t="s">
        <v>27</v>
      </c>
      <c r="I28" s="8" t="str">
        <f t="array" ref="I28">IFERROR(XLOOKUP(A28,RESPOSTAS!B:B,RESPOSTAS!C:C,"",0,-1),"Sem valor")</f>
        <v/>
      </c>
      <c r="J28" s="8" t="str">
        <f t="array" ref="J28">IFERROR(XLOOKUP(A28,RESPOSTAS!B:B,RESPOSTAS!D:D,"",0,-1),"Sem valor")</f>
        <v>Indisponível</v>
      </c>
      <c r="K28" s="8" t="str">
        <f t="array" ref="K28">IFERROR(XLOOKUP(A28,RESPOSTAS!B:B,RESPOSTAS!E:E,"",0,-1),"Sem valor")</f>
        <v/>
      </c>
      <c r="L28" s="9" t="s">
        <v>131</v>
      </c>
      <c r="M28" s="8" t="s">
        <v>132</v>
      </c>
      <c r="N28" s="8" t="s">
        <v>39</v>
      </c>
      <c r="O28" s="11">
        <v>3.600213158E9</v>
      </c>
      <c r="P28" s="12" t="s">
        <v>133</v>
      </c>
      <c r="Q28" s="8" t="s">
        <v>104</v>
      </c>
      <c r="R28" s="8" t="s">
        <v>31</v>
      </c>
      <c r="S28" s="8" t="s">
        <v>31</v>
      </c>
      <c r="T28" s="8"/>
      <c r="U28" s="8" t="str">
        <f t="array" ref="U28">IFERROR(XLOOKUP(A28,RESPOSTAS!B:B,RESPOSTAS!F:F,"",0,-1),"Sem valor")</f>
        <v/>
      </c>
      <c r="V28" s="8"/>
    </row>
    <row r="29">
      <c r="A29" s="7">
        <v>553236.0</v>
      </c>
      <c r="B29" s="7">
        <v>3.600205339E9</v>
      </c>
      <c r="C29" s="8" t="s">
        <v>91</v>
      </c>
      <c r="D29" s="8" t="s">
        <v>33</v>
      </c>
      <c r="E29" s="8" t="s">
        <v>92</v>
      </c>
      <c r="F29" s="8" t="s">
        <v>109</v>
      </c>
      <c r="G29" s="13">
        <v>2014.0</v>
      </c>
      <c r="H29" s="8" t="s">
        <v>27</v>
      </c>
      <c r="I29" s="8" t="str">
        <f t="array" ref="I29">IFERROR(XLOOKUP(A29,RESPOSTAS!B:B,RESPOSTAS!C:C,"",0,-1),"Sem valor")</f>
        <v/>
      </c>
      <c r="J29" s="8" t="str">
        <f t="array" ref="J29">IFERROR(XLOOKUP(A29,RESPOSTAS!B:B,RESPOSTAS!D:D,"",0,-1),"Sem valor")</f>
        <v>Indisponível</v>
      </c>
      <c r="K29" s="8" t="str">
        <f t="array" ref="K29">IFERROR(XLOOKUP(A29,RESPOSTAS!B:B,RESPOSTAS!E:E,"",0,-1),"Sem valor")</f>
        <v/>
      </c>
      <c r="L29" s="9" t="s">
        <v>134</v>
      </c>
      <c r="M29" s="8" t="s">
        <v>135</v>
      </c>
      <c r="N29" s="8" t="s">
        <v>39</v>
      </c>
      <c r="O29" s="11">
        <v>3.600213119E9</v>
      </c>
      <c r="P29" s="12" t="s">
        <v>136</v>
      </c>
      <c r="Q29" s="8" t="s">
        <v>31</v>
      </c>
      <c r="R29" s="8" t="s">
        <v>31</v>
      </c>
      <c r="S29" s="8" t="s">
        <v>31</v>
      </c>
      <c r="T29" s="8"/>
      <c r="U29" s="8" t="str">
        <f t="array" ref="U29">IFERROR(XLOOKUP(A29,RESPOSTAS!B:B,RESPOSTAS!F:F,"",0,-1),"Sem valor")</f>
        <v/>
      </c>
      <c r="V29" s="14" t="s">
        <v>127</v>
      </c>
    </row>
    <row r="30">
      <c r="A30" s="7">
        <v>553197.0</v>
      </c>
      <c r="B30" s="7">
        <v>3.600205353E9</v>
      </c>
      <c r="C30" s="8" t="s">
        <v>91</v>
      </c>
      <c r="D30" s="8" t="s">
        <v>33</v>
      </c>
      <c r="E30" s="8" t="s">
        <v>92</v>
      </c>
      <c r="F30" s="8" t="s">
        <v>109</v>
      </c>
      <c r="G30" s="13">
        <v>2014.0</v>
      </c>
      <c r="H30" s="8" t="s">
        <v>27</v>
      </c>
      <c r="I30" s="8" t="str">
        <f t="array" ref="I30">IFERROR(XLOOKUP(A30,RESPOSTAS!B:B,RESPOSTAS!C:C,"",0,-1),"Sem valor")</f>
        <v/>
      </c>
      <c r="J30" s="8" t="str">
        <f t="array" ref="J30">IFERROR(XLOOKUP(A30,RESPOSTAS!B:B,RESPOSTAS!D:D,"",0,-1),"Sem valor")</f>
        <v>Disponível</v>
      </c>
      <c r="K30" s="8" t="str">
        <f t="array" ref="K30">IFERROR(XLOOKUP(A30,RESPOSTAS!B:B,RESPOSTAS!E:E,"",0,-1),"Sem valor")</f>
        <v/>
      </c>
      <c r="L30" s="9" t="s">
        <v>137</v>
      </c>
      <c r="M30" s="8" t="s">
        <v>138</v>
      </c>
      <c r="N30" s="8" t="s">
        <v>39</v>
      </c>
      <c r="O30" s="11">
        <v>3.600213116E9</v>
      </c>
      <c r="P30" s="12" t="s">
        <v>139</v>
      </c>
      <c r="Q30" s="8" t="s">
        <v>31</v>
      </c>
      <c r="R30" s="8" t="s">
        <v>31</v>
      </c>
      <c r="S30" s="8" t="s">
        <v>31</v>
      </c>
      <c r="T30" s="8"/>
      <c r="U30" s="8" t="str">
        <f t="array" ref="U30">IFERROR(XLOOKUP(A30,RESPOSTAS!B:B,RESPOSTAS!F:F,"",0,-1),"Sem valor")</f>
        <v/>
      </c>
      <c r="V30" s="8"/>
    </row>
    <row r="31">
      <c r="A31" s="7">
        <v>553520.0</v>
      </c>
      <c r="B31" s="7">
        <v>3.600230995E9</v>
      </c>
      <c r="C31" s="8" t="s">
        <v>91</v>
      </c>
      <c r="D31" s="8" t="s">
        <v>33</v>
      </c>
      <c r="E31" s="8" t="s">
        <v>140</v>
      </c>
      <c r="F31" s="8" t="s">
        <v>141</v>
      </c>
      <c r="G31" s="13">
        <v>2017.0</v>
      </c>
      <c r="H31" s="8" t="s">
        <v>31</v>
      </c>
      <c r="I31" s="8" t="str">
        <f t="array" ref="I31">IFERROR(XLOOKUP(A31,RESPOSTAS!B:B,RESPOSTAS!C:C,"",0,-1),"Sem valor")</f>
        <v/>
      </c>
      <c r="J31" s="8" t="str">
        <f t="array" ref="J31">IFERROR(XLOOKUP(A31,RESPOSTAS!B:B,RESPOSTAS!D:D,"",0,-1),"Sem valor")</f>
        <v>Disponível</v>
      </c>
      <c r="K31" s="8" t="str">
        <f t="array" ref="K31">IFERROR(XLOOKUP(A31,RESPOSTAS!B:B,RESPOSTAS!E:E,"",0,-1),"Sem valor")</f>
        <v/>
      </c>
      <c r="L31" s="9" t="s">
        <v>142</v>
      </c>
      <c r="M31" s="8" t="s">
        <v>143</v>
      </c>
      <c r="N31" s="7">
        <v>3.600231027E9</v>
      </c>
      <c r="O31" s="11">
        <v>3.600231011E9</v>
      </c>
      <c r="P31" s="12" t="s">
        <v>31</v>
      </c>
      <c r="Q31" s="8" t="s">
        <v>31</v>
      </c>
      <c r="R31" s="8" t="s">
        <v>31</v>
      </c>
      <c r="S31" s="8" t="s">
        <v>31</v>
      </c>
      <c r="T31" s="8"/>
      <c r="U31" s="8" t="str">
        <f t="array" ref="U31">IFERROR(XLOOKUP(A31,RESPOSTAS!B:B,RESPOSTAS!F:F,"",0,-1),"Sem valor")</f>
        <v/>
      </c>
      <c r="V31" s="8"/>
    </row>
    <row r="32">
      <c r="A32" s="7">
        <v>553556.0</v>
      </c>
      <c r="B32" s="7">
        <v>3.600242724E9</v>
      </c>
      <c r="C32" s="8" t="s">
        <v>91</v>
      </c>
      <c r="D32" s="8" t="s">
        <v>33</v>
      </c>
      <c r="E32" s="8" t="s">
        <v>140</v>
      </c>
      <c r="F32" s="8" t="s">
        <v>141</v>
      </c>
      <c r="G32" s="13">
        <v>2017.0</v>
      </c>
      <c r="H32" s="8" t="s">
        <v>31</v>
      </c>
      <c r="I32" s="8" t="str">
        <f t="array" ref="I32">IFERROR(XLOOKUP(A32,RESPOSTAS!B:B,RESPOSTAS!C:C,"",0,-1),"Sem valor")</f>
        <v/>
      </c>
      <c r="J32" s="8" t="str">
        <f t="array" ref="J32">IFERROR(XLOOKUP(A32,RESPOSTAS!B:B,RESPOSTAS!D:D,"",0,-1),"Sem valor")</f>
        <v>Disponível</v>
      </c>
      <c r="K32" s="8" t="str">
        <f t="array" ref="K32">IFERROR(XLOOKUP(A32,RESPOSTAS!B:B,RESPOSTAS!E:E,"",0,-1),"Sem valor")</f>
        <v/>
      </c>
      <c r="L32" s="8" t="s">
        <v>144</v>
      </c>
      <c r="M32" s="8" t="s">
        <v>145</v>
      </c>
      <c r="N32" s="7">
        <v>3.600242774E9</v>
      </c>
      <c r="O32" s="11">
        <v>3.600242749E9</v>
      </c>
      <c r="P32" s="12" t="s">
        <v>31</v>
      </c>
      <c r="Q32" s="8" t="s">
        <v>31</v>
      </c>
      <c r="R32" s="8" t="s">
        <v>31</v>
      </c>
      <c r="S32" s="8" t="s">
        <v>31</v>
      </c>
      <c r="T32" s="8"/>
      <c r="U32" s="8" t="str">
        <f t="array" ref="U32">IFERROR(XLOOKUP(A32,RESPOSTAS!B:B,RESPOSTAS!F:F,"",0,-1),"Sem valor")</f>
        <v/>
      </c>
      <c r="V32" s="8"/>
    </row>
    <row r="33" hidden="1">
      <c r="A33" s="7">
        <v>77125.0</v>
      </c>
      <c r="B33" s="7">
        <v>3.600261405E9</v>
      </c>
      <c r="C33" s="15" t="s">
        <v>50</v>
      </c>
      <c r="D33" s="15" t="s">
        <v>33</v>
      </c>
      <c r="E33" s="8" t="s">
        <v>146</v>
      </c>
      <c r="F33" s="8" t="s">
        <v>147</v>
      </c>
      <c r="G33" s="8" t="s">
        <v>26</v>
      </c>
      <c r="H33" s="8" t="s">
        <v>36</v>
      </c>
      <c r="I33" s="8" t="str">
        <f t="array" ref="I33">IFERROR(XLOOKUP(A33,RESPOSTAS!B:B,RESPOSTAS!C:C,"",0,-1),"Sem valor")</f>
        <v/>
      </c>
      <c r="J33" s="8" t="str">
        <f t="array" ref="J33">IFERROR(XLOOKUP(A33,RESPOSTAS!B:B,RESPOSTAS!D:D,"",0,-1),"Sem valor")</f>
        <v>Sem informações</v>
      </c>
      <c r="K33" s="8" t="str">
        <f t="array" ref="K33">IFERROR(XLOOKUP(A33,RESPOSTAS!B:B,RESPOSTAS!E:E,"",0,-1),"Sem valor")</f>
        <v/>
      </c>
      <c r="L33" s="8" t="s">
        <v>148</v>
      </c>
      <c r="M33" s="8" t="s">
        <v>149</v>
      </c>
      <c r="N33" s="8" t="s">
        <v>39</v>
      </c>
      <c r="O33" s="12" t="s">
        <v>40</v>
      </c>
      <c r="P33" s="12" t="s">
        <v>39</v>
      </c>
      <c r="Q33" s="8" t="s">
        <v>36</v>
      </c>
      <c r="R33" s="8" t="s">
        <v>39</v>
      </c>
      <c r="S33" s="8" t="s">
        <v>39</v>
      </c>
      <c r="T33" s="8"/>
      <c r="U33" s="8" t="str">
        <f t="array" ref="U33">IFERROR(XLOOKUP(A33,RESPOSTAS!B:B,RESPOSTAS!F:F,"",0,-1),"Sem valor")</f>
        <v/>
      </c>
      <c r="V33" s="14" t="s">
        <v>150</v>
      </c>
    </row>
    <row r="34" hidden="1">
      <c r="A34" s="7">
        <v>77124.0</v>
      </c>
      <c r="B34" s="7">
        <v>3.600261406E9</v>
      </c>
      <c r="C34" s="15" t="s">
        <v>50</v>
      </c>
      <c r="D34" s="15" t="s">
        <v>33</v>
      </c>
      <c r="E34" s="8" t="s">
        <v>146</v>
      </c>
      <c r="F34" s="8" t="s">
        <v>151</v>
      </c>
      <c r="G34" s="8" t="s">
        <v>26</v>
      </c>
      <c r="H34" s="8" t="s">
        <v>36</v>
      </c>
      <c r="I34" s="8" t="str">
        <f t="array" ref="I34">IFERROR(XLOOKUP(A34,RESPOSTAS!B:B,RESPOSTAS!C:C,"",0,-1),"Sem valor")</f>
        <v/>
      </c>
      <c r="J34" s="8" t="str">
        <f t="array" ref="J34">IFERROR(XLOOKUP(A34,RESPOSTAS!B:B,RESPOSTAS!D:D,"",0,-1),"Sem valor")</f>
        <v>Sem informações</v>
      </c>
      <c r="K34" s="8" t="str">
        <f t="array" ref="K34">IFERROR(XLOOKUP(A34,RESPOSTAS!B:B,RESPOSTAS!E:E,"",0,-1),"Sem valor")</f>
        <v/>
      </c>
      <c r="L34" s="8" t="s">
        <v>152</v>
      </c>
      <c r="M34" s="8" t="s">
        <v>153</v>
      </c>
      <c r="N34" s="8" t="s">
        <v>39</v>
      </c>
      <c r="O34" s="12" t="s">
        <v>40</v>
      </c>
      <c r="P34" s="12" t="s">
        <v>39</v>
      </c>
      <c r="Q34" s="8" t="s">
        <v>36</v>
      </c>
      <c r="R34" s="8" t="s">
        <v>39</v>
      </c>
      <c r="S34" s="8" t="s">
        <v>39</v>
      </c>
      <c r="T34" s="8"/>
      <c r="U34" s="8" t="str">
        <f t="array" ref="U34">IFERROR(XLOOKUP(A34,RESPOSTAS!B:B,RESPOSTAS!F:F,"",0,-1),"Sem valor")</f>
        <v/>
      </c>
      <c r="V34" s="14" t="s">
        <v>154</v>
      </c>
    </row>
    <row r="35" hidden="1">
      <c r="A35" s="7">
        <v>77126.0</v>
      </c>
      <c r="B35" s="7">
        <v>3.600261409E9</v>
      </c>
      <c r="C35" s="15" t="s">
        <v>50</v>
      </c>
      <c r="D35" s="15" t="s">
        <v>33</v>
      </c>
      <c r="E35" s="8" t="s">
        <v>155</v>
      </c>
      <c r="F35" s="8" t="s">
        <v>156</v>
      </c>
      <c r="G35" s="8" t="s">
        <v>31</v>
      </c>
      <c r="H35" s="8" t="s">
        <v>36</v>
      </c>
      <c r="I35" s="8" t="str">
        <f t="array" ref="I35">IFERROR(XLOOKUP(A35,RESPOSTAS!B:B,RESPOSTAS!C:C,"",0,-1),"Sem valor")</f>
        <v/>
      </c>
      <c r="J35" s="8" t="str">
        <f t="array" ref="J35">IFERROR(XLOOKUP(A35,RESPOSTAS!B:B,RESPOSTAS!D:D,"",0,-1),"Sem valor")</f>
        <v>Sem informações</v>
      </c>
      <c r="K35" s="8" t="str">
        <f t="array" ref="K35">IFERROR(XLOOKUP(A35,RESPOSTAS!B:B,RESPOSTAS!E:E,"",0,-1),"Sem valor")</f>
        <v/>
      </c>
      <c r="L35" s="8" t="s">
        <v>157</v>
      </c>
      <c r="M35" s="8" t="s">
        <v>40</v>
      </c>
      <c r="N35" s="8" t="s">
        <v>39</v>
      </c>
      <c r="O35" s="12" t="s">
        <v>40</v>
      </c>
      <c r="P35" s="12" t="s">
        <v>39</v>
      </c>
      <c r="Q35" s="8" t="s">
        <v>36</v>
      </c>
      <c r="R35" s="8" t="s">
        <v>39</v>
      </c>
      <c r="S35" s="8" t="s">
        <v>39</v>
      </c>
      <c r="T35" s="8"/>
      <c r="U35" s="8" t="str">
        <f t="array" ref="U35">IFERROR(XLOOKUP(A35,RESPOSTAS!B:B,RESPOSTAS!F:F,"",0,-1),"Sem valor")</f>
        <v/>
      </c>
      <c r="V35" s="14" t="s">
        <v>158</v>
      </c>
    </row>
    <row r="36" hidden="1">
      <c r="A36" s="7">
        <v>77127.0</v>
      </c>
      <c r="B36" s="7">
        <v>3.60026141E9</v>
      </c>
      <c r="C36" s="15" t="s">
        <v>50</v>
      </c>
      <c r="D36" s="15" t="s">
        <v>33</v>
      </c>
      <c r="E36" s="8" t="s">
        <v>155</v>
      </c>
      <c r="F36" s="8" t="s">
        <v>156</v>
      </c>
      <c r="G36" s="8" t="s">
        <v>31</v>
      </c>
      <c r="H36" s="8" t="s">
        <v>36</v>
      </c>
      <c r="I36" s="8" t="str">
        <f t="array" ref="I36">IFERROR(XLOOKUP(A36,RESPOSTAS!B:B,RESPOSTAS!C:C,"",0,-1),"Sem valor")</f>
        <v/>
      </c>
      <c r="J36" s="8" t="str">
        <f t="array" ref="J36">IFERROR(XLOOKUP(A36,RESPOSTAS!B:B,RESPOSTAS!D:D,"",0,-1),"Sem valor")</f>
        <v>Sem informações</v>
      </c>
      <c r="K36" s="8" t="str">
        <f t="array" ref="K36">IFERROR(XLOOKUP(A36,RESPOSTAS!B:B,RESPOSTAS!E:E,"",0,-1),"Sem valor")</f>
        <v/>
      </c>
      <c r="L36" s="8" t="s">
        <v>40</v>
      </c>
      <c r="M36" s="8" t="s">
        <v>40</v>
      </c>
      <c r="N36" s="8" t="s">
        <v>39</v>
      </c>
      <c r="O36" s="12" t="s">
        <v>40</v>
      </c>
      <c r="P36" s="12" t="s">
        <v>39</v>
      </c>
      <c r="Q36" s="8" t="s">
        <v>36</v>
      </c>
      <c r="R36" s="8" t="s">
        <v>39</v>
      </c>
      <c r="S36" s="8" t="s">
        <v>39</v>
      </c>
      <c r="T36" s="8"/>
      <c r="U36" s="8" t="str">
        <f t="array" ref="U36">IFERROR(XLOOKUP(A36,RESPOSTAS!B:B,RESPOSTAS!F:F,"",0,-1),"Sem valor")</f>
        <v/>
      </c>
      <c r="V36" s="14" t="s">
        <v>159</v>
      </c>
    </row>
    <row r="37">
      <c r="A37" s="7">
        <v>553959.0</v>
      </c>
      <c r="B37" s="7">
        <v>3.600247624E9</v>
      </c>
      <c r="C37" s="8" t="s">
        <v>91</v>
      </c>
      <c r="D37" s="8" t="s">
        <v>33</v>
      </c>
      <c r="E37" s="8" t="s">
        <v>98</v>
      </c>
      <c r="F37" s="8" t="s">
        <v>160</v>
      </c>
      <c r="G37" s="8" t="s">
        <v>161</v>
      </c>
      <c r="H37" s="8" t="s">
        <v>27</v>
      </c>
      <c r="I37" s="8" t="str">
        <f t="array" ref="I37">IFERROR(XLOOKUP(A37,RESPOSTAS!B:B,RESPOSTAS!C:C,"",0,-1),"Sem valor")</f>
        <v/>
      </c>
      <c r="J37" s="8" t="str">
        <f t="array" ref="J37">IFERROR(XLOOKUP(A37,RESPOSTAS!B:B,RESPOSTAS!D:D,"",0,-1),"Sem valor")</f>
        <v>Disponível</v>
      </c>
      <c r="K37" s="8" t="str">
        <f t="array" ref="K37">IFERROR(XLOOKUP(A37,RESPOSTAS!B:B,RESPOSTAS!E:E,"",0,-1),"Sem valor")</f>
        <v/>
      </c>
      <c r="L37" s="9" t="s">
        <v>162</v>
      </c>
      <c r="M37" s="8" t="s">
        <v>163</v>
      </c>
      <c r="N37" s="7">
        <v>3.600247672E9</v>
      </c>
      <c r="O37" s="11">
        <v>3.600212886E9</v>
      </c>
      <c r="P37" s="12" t="s">
        <v>164</v>
      </c>
      <c r="Q37" s="14" t="s">
        <v>165</v>
      </c>
      <c r="R37" s="8" t="s">
        <v>31</v>
      </c>
      <c r="S37" s="8" t="s">
        <v>31</v>
      </c>
      <c r="T37" s="8"/>
      <c r="U37" s="8" t="str">
        <f t="array" ref="U37">IFERROR(XLOOKUP(A37,RESPOSTAS!B:B,RESPOSTAS!F:F,"",0,-1),"Sem valor")</f>
        <v/>
      </c>
      <c r="V37" s="8"/>
    </row>
    <row r="38">
      <c r="A38" s="7">
        <v>11943.0</v>
      </c>
      <c r="B38" s="7">
        <v>3.600251179E9</v>
      </c>
      <c r="C38" s="8" t="s">
        <v>91</v>
      </c>
      <c r="D38" s="8" t="s">
        <v>23</v>
      </c>
      <c r="E38" s="8" t="s">
        <v>77</v>
      </c>
      <c r="F38" s="8" t="s">
        <v>166</v>
      </c>
      <c r="G38" s="13">
        <v>2019.0</v>
      </c>
      <c r="H38" s="8" t="s">
        <v>167</v>
      </c>
      <c r="I38" s="8" t="str">
        <f t="array" ref="I38">IFERROR(XLOOKUP(A38,RESPOSTAS!B:B,RESPOSTAS!C:C,"",0,-1),"Sem valor")</f>
        <v/>
      </c>
      <c r="J38" s="8" t="str">
        <f t="array" ref="J38">IFERROR(XLOOKUP(A38,RESPOSTAS!B:B,RESPOSTAS!D:D,"",0,-1),"Sem valor")</f>
        <v>Disponível</v>
      </c>
      <c r="K38" s="8" t="str">
        <f t="array" ref="K38">IFERROR(XLOOKUP(A38,RESPOSTAS!B:B,RESPOSTAS!E:E,"",0,-1),"Sem valor")</f>
        <v/>
      </c>
      <c r="L38" s="9" t="s">
        <v>168</v>
      </c>
      <c r="M38" s="10" t="s">
        <v>169</v>
      </c>
      <c r="N38" s="8" t="s">
        <v>39</v>
      </c>
      <c r="O38" s="12" t="s">
        <v>40</v>
      </c>
      <c r="P38" s="12" t="s">
        <v>39</v>
      </c>
      <c r="Q38" s="8" t="s">
        <v>74</v>
      </c>
      <c r="R38" s="8" t="s">
        <v>31</v>
      </c>
      <c r="S38" s="8" t="s">
        <v>31</v>
      </c>
      <c r="T38" s="8"/>
      <c r="U38" s="8" t="str">
        <f t="array" ref="U38">IFERROR(XLOOKUP(A38,RESPOSTAS!B:B,RESPOSTAS!F:F,"",0,-1),"Sem valor")</f>
        <v/>
      </c>
      <c r="V38" s="8"/>
    </row>
    <row r="39">
      <c r="A39" s="13">
        <v>559384.0</v>
      </c>
      <c r="B39" s="7">
        <v>3.600273208E9</v>
      </c>
      <c r="C39" s="8" t="s">
        <v>91</v>
      </c>
      <c r="D39" s="15" t="s">
        <v>105</v>
      </c>
      <c r="E39" s="8" t="s">
        <v>170</v>
      </c>
      <c r="F39" s="8" t="s">
        <v>171</v>
      </c>
      <c r="G39" s="20" t="s">
        <v>26</v>
      </c>
      <c r="H39" s="8" t="s">
        <v>27</v>
      </c>
      <c r="I39" s="8" t="str">
        <f t="array" ref="I39">IFERROR(XLOOKUP(A39,RESPOSTAS!B:B,RESPOSTAS!C:C,"",0,-1),"Sem valor")</f>
        <v/>
      </c>
      <c r="J39" s="8" t="str">
        <f t="array" ref="J39">IFERROR(XLOOKUP(A39,RESPOSTAS!B:B,RESPOSTAS!D:D,"",0,-1),"Sem valor")</f>
        <v>Indisponível</v>
      </c>
      <c r="K39" s="8" t="str">
        <f t="array" ref="K39">IFERROR(XLOOKUP(A39,RESPOSTAS!B:B,RESPOSTAS!E:E,"",0,-1),"Sem valor")</f>
        <v/>
      </c>
      <c r="L39" s="8" t="s">
        <v>172</v>
      </c>
      <c r="M39" s="8" t="s">
        <v>173</v>
      </c>
      <c r="N39" s="8" t="s">
        <v>39</v>
      </c>
      <c r="O39" s="21">
        <v>3.600212646E9</v>
      </c>
      <c r="P39" s="12" t="s">
        <v>174</v>
      </c>
      <c r="Q39" s="8" t="s">
        <v>31</v>
      </c>
      <c r="R39" s="8" t="s">
        <v>31</v>
      </c>
      <c r="S39" s="8" t="s">
        <v>31</v>
      </c>
      <c r="T39" s="8"/>
      <c r="U39" s="8" t="str">
        <f t="array" ref="U39">IFERROR(XLOOKUP(A39,RESPOSTAS!B:B,RESPOSTAS!F:F,"",0,-1),"Sem valor")</f>
        <v/>
      </c>
      <c r="V39" s="8"/>
    </row>
    <row r="40">
      <c r="A40" s="7">
        <v>554332.0</v>
      </c>
      <c r="B40" s="7">
        <v>3.600284538E9</v>
      </c>
      <c r="C40" s="8" t="s">
        <v>91</v>
      </c>
      <c r="D40" s="8" t="s">
        <v>33</v>
      </c>
      <c r="E40" s="8" t="s">
        <v>92</v>
      </c>
      <c r="F40" s="8" t="s">
        <v>175</v>
      </c>
      <c r="G40" s="13">
        <v>2023.0</v>
      </c>
      <c r="H40" s="8" t="s">
        <v>27</v>
      </c>
      <c r="I40" s="8" t="str">
        <f t="array" ref="I40">IFERROR(XLOOKUP(A40,RESPOSTAS!B:B,RESPOSTAS!C:C,"",0,-1),"Sem valor")</f>
        <v/>
      </c>
      <c r="J40" s="8" t="str">
        <f t="array" ref="J40">IFERROR(XLOOKUP(A40,RESPOSTAS!B:B,RESPOSTAS!D:D,"",0,-1),"Sem valor")</f>
        <v>Indisponível</v>
      </c>
      <c r="K40" s="8" t="str">
        <f t="array" ref="K40">IFERROR(XLOOKUP(A40,RESPOSTAS!B:B,RESPOSTAS!E:E,"",0,-1),"Sem valor")</f>
        <v/>
      </c>
      <c r="L40" s="9" t="s">
        <v>176</v>
      </c>
      <c r="M40" s="8" t="s">
        <v>177</v>
      </c>
      <c r="N40" s="7">
        <v>3.600284606E9</v>
      </c>
      <c r="O40" s="11">
        <v>3.600211907E9</v>
      </c>
      <c r="P40" s="12" t="s">
        <v>178</v>
      </c>
      <c r="Q40" s="14" t="s">
        <v>179</v>
      </c>
      <c r="R40" s="8" t="s">
        <v>31</v>
      </c>
      <c r="S40" s="8" t="s">
        <v>31</v>
      </c>
      <c r="T40" s="8"/>
      <c r="U40" s="8" t="str">
        <f t="array" ref="U40">IFERROR(XLOOKUP(A40,RESPOSTAS!B:B,RESPOSTAS!F:F,"",0,-1),"Sem valor")</f>
        <v/>
      </c>
      <c r="V40" s="8"/>
    </row>
    <row r="41">
      <c r="A41" s="7">
        <v>554440.0</v>
      </c>
      <c r="B41" s="7">
        <v>3.600291036E9</v>
      </c>
      <c r="C41" s="8" t="s">
        <v>91</v>
      </c>
      <c r="D41" s="8" t="s">
        <v>33</v>
      </c>
      <c r="E41" s="8" t="s">
        <v>98</v>
      </c>
      <c r="F41" s="8" t="s">
        <v>180</v>
      </c>
      <c r="G41" s="13">
        <v>2023.0</v>
      </c>
      <c r="H41" s="8" t="s">
        <v>27</v>
      </c>
      <c r="I41" s="8" t="str">
        <f t="array" ref="I41">IFERROR(XLOOKUP(A41,RESPOSTAS!B:B,RESPOSTAS!C:C,"",0,-1),"Sem valor")</f>
        <v/>
      </c>
      <c r="J41" s="8" t="str">
        <f t="array" ref="J41">IFERROR(XLOOKUP(A41,RESPOSTAS!B:B,RESPOSTAS!D:D,"",0,-1),"Sem valor")</f>
        <v>Disponível</v>
      </c>
      <c r="K41" s="8" t="str">
        <f t="array" ref="K41">IFERROR(XLOOKUP(A41,RESPOSTAS!B:B,RESPOSTAS!E:E,"",0,-1),"Sem valor")</f>
        <v/>
      </c>
      <c r="L41" s="9" t="s">
        <v>181</v>
      </c>
      <c r="M41" s="10" t="s">
        <v>182</v>
      </c>
      <c r="N41" s="22">
        <v>3.60029114E9</v>
      </c>
      <c r="O41" s="23">
        <v>3.600213126E9</v>
      </c>
      <c r="P41" s="24" t="s">
        <v>31</v>
      </c>
      <c r="Q41" s="8" t="s">
        <v>31</v>
      </c>
      <c r="R41" s="8" t="s">
        <v>31</v>
      </c>
      <c r="S41" s="8" t="s">
        <v>31</v>
      </c>
      <c r="T41" s="8"/>
      <c r="U41" s="8" t="str">
        <f t="array" ref="U41">IFERROR(XLOOKUP(A41,RESPOSTAS!B:B,RESPOSTAS!F:F,"",0,-1),"Sem valor")</f>
        <v/>
      </c>
      <c r="V41" s="14" t="s">
        <v>183</v>
      </c>
    </row>
    <row r="42">
      <c r="A42" s="7">
        <v>554442.0</v>
      </c>
      <c r="B42" s="7">
        <v>3.600291041E9</v>
      </c>
      <c r="C42" s="8" t="s">
        <v>91</v>
      </c>
      <c r="D42" s="8" t="s">
        <v>33</v>
      </c>
      <c r="E42" s="8" t="s">
        <v>98</v>
      </c>
      <c r="F42" s="8" t="s">
        <v>180</v>
      </c>
      <c r="G42" s="13">
        <v>2023.0</v>
      </c>
      <c r="H42" s="8" t="s">
        <v>36</v>
      </c>
      <c r="I42" s="8" t="str">
        <f t="array" ref="I42">IFERROR(XLOOKUP(A42,RESPOSTAS!B:B,RESPOSTAS!C:C,"",0,-1),"Sem valor")</f>
        <v/>
      </c>
      <c r="J42" s="8" t="str">
        <f t="array" ref="J42">IFERROR(XLOOKUP(A42,RESPOSTAS!B:B,RESPOSTAS!D:D,"",0,-1),"Sem valor")</f>
        <v>Disponível</v>
      </c>
      <c r="K42" s="8" t="str">
        <f t="array" ref="K42">IFERROR(XLOOKUP(A42,RESPOSTAS!B:B,RESPOSTAS!E:E,"",0,-1),"Sem valor")</f>
        <v/>
      </c>
      <c r="L42" s="9" t="s">
        <v>184</v>
      </c>
      <c r="M42" s="10" t="s">
        <v>185</v>
      </c>
      <c r="N42" s="7">
        <v>3.600291136E9</v>
      </c>
      <c r="O42" s="11">
        <v>3.600213159E9</v>
      </c>
      <c r="P42" s="12" t="s">
        <v>186</v>
      </c>
      <c r="Q42" s="8" t="s">
        <v>36</v>
      </c>
      <c r="R42" s="8" t="s">
        <v>31</v>
      </c>
      <c r="S42" s="8" t="s">
        <v>31</v>
      </c>
      <c r="T42" s="8"/>
      <c r="U42" s="8" t="str">
        <f t="array" ref="U42">IFERROR(XLOOKUP(A42,RESPOSTAS!B:B,RESPOSTAS!F:F,"",0,-1),"Sem valor")</f>
        <v/>
      </c>
      <c r="V42" s="8"/>
    </row>
    <row r="43">
      <c r="A43" s="7">
        <v>554443.0</v>
      </c>
      <c r="B43" s="7">
        <v>3.600291045E9</v>
      </c>
      <c r="C43" s="8" t="s">
        <v>91</v>
      </c>
      <c r="D43" s="8" t="s">
        <v>33</v>
      </c>
      <c r="E43" s="8" t="s">
        <v>98</v>
      </c>
      <c r="F43" s="8" t="s">
        <v>180</v>
      </c>
      <c r="G43" s="13">
        <v>2023.0</v>
      </c>
      <c r="H43" s="8" t="s">
        <v>27</v>
      </c>
      <c r="I43" s="8" t="str">
        <f t="array" ref="I43">IFERROR(XLOOKUP(A43,RESPOSTAS!B:B,RESPOSTAS!C:C,"",0,-1),"Sem valor")</f>
        <v/>
      </c>
      <c r="J43" s="8" t="str">
        <f t="array" ref="J43">IFERROR(XLOOKUP(A43,RESPOSTAS!B:B,RESPOSTAS!D:D,"",0,-1),"Sem valor")</f>
        <v>Disponível</v>
      </c>
      <c r="K43" s="8" t="str">
        <f t="array" ref="K43">IFERROR(XLOOKUP(A43,RESPOSTAS!B:B,RESPOSTAS!E:E,"",0,-1),"Sem valor")</f>
        <v/>
      </c>
      <c r="L43" s="9" t="s">
        <v>187</v>
      </c>
      <c r="M43" s="10" t="s">
        <v>188</v>
      </c>
      <c r="N43" s="7">
        <v>3.600291103E9</v>
      </c>
      <c r="O43" s="11">
        <v>3.600212272E9</v>
      </c>
      <c r="P43" s="25" t="s">
        <v>189</v>
      </c>
      <c r="Q43" s="8" t="s">
        <v>104</v>
      </c>
      <c r="R43" s="8" t="s">
        <v>31</v>
      </c>
      <c r="S43" s="8" t="s">
        <v>31</v>
      </c>
      <c r="T43" s="8"/>
      <c r="U43" s="8" t="str">
        <f t="array" ref="U43">IFERROR(XLOOKUP(A43,RESPOSTAS!B:B,RESPOSTAS!F:F,"",0,-1),"Sem valor")</f>
        <v/>
      </c>
      <c r="V43" s="14" t="s">
        <v>190</v>
      </c>
    </row>
    <row r="44">
      <c r="A44" s="7">
        <v>554453.0</v>
      </c>
      <c r="B44" s="7">
        <v>3.600291046E9</v>
      </c>
      <c r="C44" s="8" t="s">
        <v>91</v>
      </c>
      <c r="D44" s="8" t="s">
        <v>33</v>
      </c>
      <c r="E44" s="8" t="s">
        <v>98</v>
      </c>
      <c r="F44" s="8" t="s">
        <v>180</v>
      </c>
      <c r="G44" s="13">
        <v>2023.0</v>
      </c>
      <c r="H44" s="8" t="s">
        <v>27</v>
      </c>
      <c r="I44" s="8" t="str">
        <f t="array" ref="I44">IFERROR(XLOOKUP(A44,RESPOSTAS!B:B,RESPOSTAS!C:C,"",0,-1),"Sem valor")</f>
        <v/>
      </c>
      <c r="J44" s="8" t="str">
        <f t="array" ref="J44">IFERROR(XLOOKUP(A44,RESPOSTAS!B:B,RESPOSTAS!D:D,"",0,-1),"Sem valor")</f>
        <v>Indisponível</v>
      </c>
      <c r="K44" s="8" t="str">
        <f t="array" ref="K44">IFERROR(XLOOKUP(A44,RESPOSTAS!B:B,RESPOSTAS!E:E,"",0,-1),"Sem valor")</f>
        <v/>
      </c>
      <c r="L44" s="9" t="s">
        <v>191</v>
      </c>
      <c r="M44" s="10" t="s">
        <v>192</v>
      </c>
      <c r="N44" s="7">
        <v>3.600291104E9</v>
      </c>
      <c r="O44" s="11">
        <v>3.600213111E9</v>
      </c>
      <c r="P44" s="12" t="s">
        <v>193</v>
      </c>
      <c r="Q44" s="8" t="s">
        <v>31</v>
      </c>
      <c r="R44" s="8" t="s">
        <v>31</v>
      </c>
      <c r="S44" s="8" t="s">
        <v>31</v>
      </c>
      <c r="T44" s="8"/>
      <c r="U44" s="8" t="str">
        <f t="array" ref="U44">IFERROR(XLOOKUP(A44,RESPOSTAS!B:B,RESPOSTAS!F:F,"",0,-1),"Sem valor")</f>
        <v/>
      </c>
      <c r="V44" s="8"/>
    </row>
    <row r="45">
      <c r="A45" s="7">
        <v>554441.0</v>
      </c>
      <c r="B45" s="7">
        <v>3.600291047E9</v>
      </c>
      <c r="C45" s="8" t="s">
        <v>91</v>
      </c>
      <c r="D45" s="8" t="s">
        <v>33</v>
      </c>
      <c r="E45" s="8" t="s">
        <v>98</v>
      </c>
      <c r="F45" s="8" t="s">
        <v>180</v>
      </c>
      <c r="G45" s="13">
        <v>2023.0</v>
      </c>
      <c r="H45" s="8" t="s">
        <v>27</v>
      </c>
      <c r="I45" s="8" t="str">
        <f t="array" ref="I45">IFERROR(XLOOKUP(A45,RESPOSTAS!B:B,RESPOSTAS!C:C,"",0,-1),"Sem valor")</f>
        <v/>
      </c>
      <c r="J45" s="8" t="str">
        <f t="array" ref="J45">IFERROR(XLOOKUP(A45,RESPOSTAS!B:B,RESPOSTAS!D:D,"",0,-1),"Sem valor")</f>
        <v>Indisponível</v>
      </c>
      <c r="K45" s="8" t="str">
        <f t="array" ref="K45">IFERROR(XLOOKUP(A45,RESPOSTAS!B:B,RESPOSTAS!E:E,"",0,-1),"Sem valor")</f>
        <v/>
      </c>
      <c r="L45" s="9" t="s">
        <v>194</v>
      </c>
      <c r="M45" s="10" t="s">
        <v>195</v>
      </c>
      <c r="N45" s="7">
        <v>3.600291138E9</v>
      </c>
      <c r="O45" s="11">
        <v>3.60021316E9</v>
      </c>
      <c r="P45" s="12" t="s">
        <v>196</v>
      </c>
      <c r="Q45" s="8" t="s">
        <v>197</v>
      </c>
      <c r="R45" s="8" t="s">
        <v>31</v>
      </c>
      <c r="S45" s="8" t="s">
        <v>31</v>
      </c>
      <c r="T45" s="8"/>
      <c r="U45" s="8" t="str">
        <f t="array" ref="U45">IFERROR(XLOOKUP(A45,RESPOSTAS!B:B,RESPOSTAS!F:F,"",0,-1),"Sem valor")</f>
        <v/>
      </c>
      <c r="V45" s="14" t="s">
        <v>198</v>
      </c>
    </row>
    <row r="46">
      <c r="A46" s="7">
        <v>554439.0</v>
      </c>
      <c r="B46" s="7">
        <v>3.60029105E9</v>
      </c>
      <c r="C46" s="8" t="s">
        <v>91</v>
      </c>
      <c r="D46" s="8" t="s">
        <v>33</v>
      </c>
      <c r="E46" s="8" t="s">
        <v>98</v>
      </c>
      <c r="F46" s="8" t="s">
        <v>180</v>
      </c>
      <c r="G46" s="13">
        <v>2023.0</v>
      </c>
      <c r="H46" s="8" t="s">
        <v>27</v>
      </c>
      <c r="I46" s="8" t="str">
        <f t="array" ref="I46">IFERROR(XLOOKUP(A46,RESPOSTAS!B:B,RESPOSTAS!C:C,"",0,-1),"Sem valor")</f>
        <v/>
      </c>
      <c r="J46" s="8" t="str">
        <f t="array" ref="J46">IFERROR(XLOOKUP(A46,RESPOSTAS!B:B,RESPOSTAS!D:D,"",0,-1),"Sem valor")</f>
        <v>Disponível</v>
      </c>
      <c r="K46" s="8" t="str">
        <f t="array" ref="K46">IFERROR(XLOOKUP(A46,RESPOSTAS!B:B,RESPOSTAS!E:E,"",0,-1),"Sem valor")</f>
        <v/>
      </c>
      <c r="L46" s="9" t="s">
        <v>199</v>
      </c>
      <c r="M46" s="10" t="s">
        <v>200</v>
      </c>
      <c r="N46" s="7">
        <v>3.600291139E9</v>
      </c>
      <c r="O46" s="11">
        <v>3.600212006E9</v>
      </c>
      <c r="P46" s="25" t="s">
        <v>201</v>
      </c>
      <c r="Q46" s="14" t="s">
        <v>179</v>
      </c>
      <c r="R46" s="8" t="s">
        <v>31</v>
      </c>
      <c r="S46" s="8" t="s">
        <v>31</v>
      </c>
      <c r="T46" s="8"/>
      <c r="U46" s="8" t="str">
        <f t="array" ref="U46">IFERROR(XLOOKUP(A46,RESPOSTAS!B:B,RESPOSTAS!F:F,"",0,-1),"Sem valor")</f>
        <v/>
      </c>
      <c r="V46" s="8"/>
    </row>
    <row r="47">
      <c r="A47" s="7">
        <v>554437.0</v>
      </c>
      <c r="B47" s="7">
        <v>3.600291073E9</v>
      </c>
      <c r="C47" s="8" t="s">
        <v>91</v>
      </c>
      <c r="D47" s="8" t="s">
        <v>33</v>
      </c>
      <c r="E47" s="8" t="s">
        <v>98</v>
      </c>
      <c r="F47" s="8" t="s">
        <v>180</v>
      </c>
      <c r="G47" s="13">
        <v>2023.0</v>
      </c>
      <c r="H47" s="8" t="s">
        <v>31</v>
      </c>
      <c r="I47" s="8" t="str">
        <f t="array" ref="I47">IFERROR(XLOOKUP(A47,RESPOSTAS!B:B,RESPOSTAS!C:C,"",0,-1),"Sem valor")</f>
        <v/>
      </c>
      <c r="J47" s="8" t="str">
        <f t="array" ref="J47">IFERROR(XLOOKUP(A47,RESPOSTAS!B:B,RESPOSTAS!D:D,"",0,-1),"Sem valor")</f>
        <v>Disponível</v>
      </c>
      <c r="K47" s="8" t="str">
        <f t="array" ref="K47">IFERROR(XLOOKUP(A47,RESPOSTAS!B:B,RESPOSTAS!E:E,"",0,-1),"Sem valor")</f>
        <v/>
      </c>
      <c r="L47" s="9" t="s">
        <v>202</v>
      </c>
      <c r="M47" s="10" t="s">
        <v>203</v>
      </c>
      <c r="N47" s="7">
        <v>3.600291135E9</v>
      </c>
      <c r="O47" s="11">
        <v>3.600213164E9</v>
      </c>
      <c r="P47" s="12" t="s">
        <v>204</v>
      </c>
      <c r="Q47" s="8" t="s">
        <v>31</v>
      </c>
      <c r="R47" s="8" t="s">
        <v>31</v>
      </c>
      <c r="S47" s="8" t="s">
        <v>31</v>
      </c>
      <c r="T47" s="8"/>
      <c r="U47" s="8" t="str">
        <f t="array" ref="U47">IFERROR(XLOOKUP(A47,RESPOSTAS!B:B,RESPOSTAS!F:F,"",0,-1),"Sem valor")</f>
        <v/>
      </c>
      <c r="V47" s="14" t="s">
        <v>198</v>
      </c>
    </row>
    <row r="48">
      <c r="A48" s="7">
        <v>554448.0</v>
      </c>
      <c r="B48" s="7">
        <v>3.600291075E9</v>
      </c>
      <c r="C48" s="8" t="s">
        <v>91</v>
      </c>
      <c r="D48" s="8" t="s">
        <v>33</v>
      </c>
      <c r="E48" s="8" t="s">
        <v>98</v>
      </c>
      <c r="F48" s="8" t="s">
        <v>180</v>
      </c>
      <c r="G48" s="13">
        <v>2023.0</v>
      </c>
      <c r="H48" s="8" t="s">
        <v>31</v>
      </c>
      <c r="I48" s="8" t="str">
        <f t="array" ref="I48">IFERROR(XLOOKUP(A48,RESPOSTAS!B:B,RESPOSTAS!C:C,"",0,-1),"Sem valor")</f>
        <v/>
      </c>
      <c r="J48" s="8" t="str">
        <f t="array" ref="J48">IFERROR(XLOOKUP(A48,RESPOSTAS!B:B,RESPOSTAS!D:D,"",0,-1),"Sem valor")</f>
        <v>Indisponível</v>
      </c>
      <c r="K48" s="8" t="str">
        <f t="array" ref="K48">IFERROR(XLOOKUP(A48,RESPOSTAS!B:B,RESPOSTAS!E:E,"",0,-1),"Sem valor")</f>
        <v/>
      </c>
      <c r="L48" s="9" t="s">
        <v>205</v>
      </c>
      <c r="M48" s="10" t="s">
        <v>206</v>
      </c>
      <c r="N48" s="7">
        <v>3.600291107E9</v>
      </c>
      <c r="O48" s="11">
        <v>3.60021311E9</v>
      </c>
      <c r="P48" s="12" t="s">
        <v>207</v>
      </c>
      <c r="Q48" s="8" t="s">
        <v>31</v>
      </c>
      <c r="R48" s="8" t="s">
        <v>31</v>
      </c>
      <c r="S48" s="8" t="s">
        <v>31</v>
      </c>
      <c r="T48" s="8"/>
      <c r="U48" s="8" t="str">
        <f t="array" ref="U48">IFERROR(XLOOKUP(A48,RESPOSTAS!B:B,RESPOSTAS!F:F,"",0,-1),"Sem valor")</f>
        <v/>
      </c>
      <c r="V48" s="8"/>
    </row>
    <row r="49">
      <c r="A49" s="7">
        <v>554435.0</v>
      </c>
      <c r="B49" s="7">
        <v>3.600291077E9</v>
      </c>
      <c r="C49" s="8" t="s">
        <v>91</v>
      </c>
      <c r="D49" s="8" t="s">
        <v>33</v>
      </c>
      <c r="E49" s="8" t="s">
        <v>98</v>
      </c>
      <c r="F49" s="8" t="s">
        <v>180</v>
      </c>
      <c r="G49" s="13">
        <v>2023.0</v>
      </c>
      <c r="H49" s="8" t="s">
        <v>27</v>
      </c>
      <c r="I49" s="8" t="str">
        <f t="array" ref="I49">IFERROR(XLOOKUP(A49,RESPOSTAS!B:B,RESPOSTAS!C:C,"",0,-1),"Sem valor")</f>
        <v/>
      </c>
      <c r="J49" s="8" t="str">
        <f t="array" ref="J49">IFERROR(XLOOKUP(A49,RESPOSTAS!B:B,RESPOSTAS!D:D,"",0,-1),"Sem valor")</f>
        <v>Indisponível</v>
      </c>
      <c r="K49" s="8" t="str">
        <f t="array" ref="K49">IFERROR(XLOOKUP(A49,RESPOSTAS!B:B,RESPOSTAS!E:E,"",0,-1),"Sem valor")</f>
        <v/>
      </c>
      <c r="L49" s="9" t="s">
        <v>208</v>
      </c>
      <c r="M49" s="8" t="s">
        <v>209</v>
      </c>
      <c r="N49" s="7">
        <v>3.600291141E9</v>
      </c>
      <c r="O49" s="11">
        <v>3.600212032E9</v>
      </c>
      <c r="P49" s="12" t="s">
        <v>210</v>
      </c>
      <c r="Q49" s="8" t="s">
        <v>31</v>
      </c>
      <c r="R49" s="8" t="s">
        <v>31</v>
      </c>
      <c r="S49" s="8" t="s">
        <v>31</v>
      </c>
      <c r="T49" s="8"/>
      <c r="U49" s="8" t="str">
        <f t="array" ref="U49">IFERROR(XLOOKUP(A49,RESPOSTAS!B:B,RESPOSTAS!F:F,"",0,-1),"Sem valor")</f>
        <v/>
      </c>
      <c r="V49" s="8"/>
    </row>
    <row r="50">
      <c r="A50" s="7">
        <v>554434.0</v>
      </c>
      <c r="B50" s="7">
        <v>3.600291084E9</v>
      </c>
      <c r="C50" s="8" t="s">
        <v>91</v>
      </c>
      <c r="D50" s="8" t="s">
        <v>33</v>
      </c>
      <c r="E50" s="8" t="s">
        <v>98</v>
      </c>
      <c r="F50" s="8" t="s">
        <v>180</v>
      </c>
      <c r="G50" s="13">
        <v>2023.0</v>
      </c>
      <c r="H50" s="8" t="s">
        <v>27</v>
      </c>
      <c r="I50" s="8" t="str">
        <f t="array" ref="I50">IFERROR(XLOOKUP(A50,RESPOSTAS!B:B,RESPOSTAS!C:C,"",0,-1),"Sem valor")</f>
        <v/>
      </c>
      <c r="J50" s="8" t="str">
        <f t="array" ref="J50">IFERROR(XLOOKUP(A50,RESPOSTAS!B:B,RESPOSTAS!D:D,"",0,-1),"Sem valor")</f>
        <v>Disponível</v>
      </c>
      <c r="K50" s="8" t="str">
        <f t="array" ref="K50">IFERROR(XLOOKUP(A50,RESPOSTAS!B:B,RESPOSTAS!E:E,"",0,-1),"Sem valor")</f>
        <v/>
      </c>
      <c r="L50" s="9" t="s">
        <v>211</v>
      </c>
      <c r="M50" s="8" t="s">
        <v>212</v>
      </c>
      <c r="N50" s="7">
        <v>3.600291142E9</v>
      </c>
      <c r="O50" s="11">
        <v>3.600213152E9</v>
      </c>
      <c r="P50" s="12" t="s">
        <v>213</v>
      </c>
      <c r="Q50" s="8" t="s">
        <v>214</v>
      </c>
      <c r="R50" s="8" t="s">
        <v>31</v>
      </c>
      <c r="S50" s="8" t="s">
        <v>31</v>
      </c>
      <c r="T50" s="8"/>
      <c r="U50" s="8" t="str">
        <f t="array" ref="U50">IFERROR(XLOOKUP(A50,RESPOSTAS!B:B,RESPOSTAS!F:F,"",0,-1),"Sem valor")</f>
        <v/>
      </c>
      <c r="V50" s="8"/>
    </row>
    <row r="51">
      <c r="A51" s="7">
        <v>553298.0</v>
      </c>
      <c r="B51" s="7">
        <v>2.00178052E8</v>
      </c>
      <c r="C51" s="8" t="s">
        <v>91</v>
      </c>
      <c r="D51" s="8" t="s">
        <v>105</v>
      </c>
      <c r="E51" s="8" t="s">
        <v>92</v>
      </c>
      <c r="F51" s="8" t="s">
        <v>215</v>
      </c>
      <c r="G51" s="20" t="s">
        <v>216</v>
      </c>
      <c r="H51" s="8" t="s">
        <v>27</v>
      </c>
      <c r="I51" s="8"/>
      <c r="J51" s="8" t="s">
        <v>217</v>
      </c>
      <c r="K51" s="14" t="s">
        <v>218</v>
      </c>
      <c r="L51" s="9" t="s">
        <v>219</v>
      </c>
      <c r="M51" s="8" t="s">
        <v>220</v>
      </c>
      <c r="N51" s="8" t="s">
        <v>39</v>
      </c>
      <c r="O51" s="11">
        <v>3.600213216E9</v>
      </c>
      <c r="P51" s="12" t="s">
        <v>221</v>
      </c>
      <c r="Q51" s="8" t="s">
        <v>222</v>
      </c>
      <c r="R51" s="8" t="s">
        <v>31</v>
      </c>
      <c r="S51" s="8" t="s">
        <v>31</v>
      </c>
      <c r="T51" s="8"/>
      <c r="U51" s="8"/>
      <c r="V51" s="14" t="s">
        <v>223</v>
      </c>
    </row>
  </sheetData>
  <autoFilter ref="$A$1:$V$51">
    <filterColumn colId="2">
      <filters>
        <filter val="VTR 4 RODAS"/>
      </filters>
    </filterColumn>
    <sortState ref="A1:V51">
      <sortCondition ref="C1:C51"/>
      <sortCondition ref="B1:B51"/>
      <sortCondition ref="A1:A51"/>
      <sortCondition ref="Q1:Q51"/>
      <sortCondition ref="N1:N51"/>
    </sortState>
  </autoFilter>
  <dataValidations>
    <dataValidation type="list" allowBlank="1" showErrorMessage="1" sqref="C2:C51">
      <formula1>"CAMINHÃO,EMBARCAÇÃO,ÔNIBUS E VANS,TRATOR,VTR 2 RODAS,VTR 4 RODAS"</formula1>
    </dataValidation>
    <dataValidation type="list" allowBlank="1" showErrorMessage="1" sqref="D2:D51">
      <formula1>"ADMINISTRATIVO,OPERACIONAL,VELADO"</formula1>
    </dataValidation>
    <dataValidation type="list" allowBlank="1" showErrorMessage="1" sqref="E6:E7 E33:E36">
      <formula1>"CHEVROLET,FIAT,FLEXBOAT,GM,HYUNDAI,MARCOPOLO,MITSUBISHI,RENAULT,TOYOTA,YAMAHA,TRITON,FORD,AGRITECH,JET SKY,TCN DO BRASIL,SEA-DOO"</formula1>
    </dataValidation>
    <dataValidation type="list" allowBlank="1" showErrorMessage="1" sqref="E2:E5 E8:E32 E37:E51">
      <formula1>"CHEVROLET,FIAT,FLEXBOAT,GM,HYUNDAI,MARCOPOLO,MITSUBISHI,RENAULT,TOYOTA,YAMAHA,TRITON,FORD,AGRITECH"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4.63"/>
    <col customWidth="1" min="3" max="3" width="15.0"/>
    <col customWidth="1" min="4" max="4" width="11.88"/>
    <col customWidth="1" min="5" max="5" width="26.63"/>
    <col customWidth="1" min="6" max="6" width="11.75"/>
    <col customWidth="1" min="7" max="7" width="12.13"/>
    <col customWidth="1" min="8" max="8" width="13.25"/>
    <col customWidth="1" min="9" max="9" width="14.63"/>
    <col customWidth="1" min="10" max="11" width="15.63"/>
    <col customWidth="1" min="12" max="12" width="28.0"/>
    <col customWidth="1" min="13" max="13" width="14.13"/>
    <col customWidth="1" min="14" max="14" width="16.75"/>
    <col customWidth="1" min="15" max="15" width="32.88"/>
    <col customWidth="1" min="16" max="16" width="30.38"/>
  </cols>
  <sheetData>
    <row r="1" ht="52.5" customHeight="1">
      <c r="A1" s="26" t="s">
        <v>224</v>
      </c>
      <c r="B1" s="26" t="s">
        <v>225</v>
      </c>
      <c r="C1" s="26" t="s">
        <v>2</v>
      </c>
      <c r="D1" s="26" t="s">
        <v>4</v>
      </c>
      <c r="E1" s="26" t="s">
        <v>5</v>
      </c>
      <c r="F1" s="26" t="s">
        <v>0</v>
      </c>
      <c r="G1" s="26" t="s">
        <v>11</v>
      </c>
      <c r="H1" s="26" t="s">
        <v>226</v>
      </c>
      <c r="I1" s="26" t="s">
        <v>227</v>
      </c>
      <c r="J1" s="26" t="s">
        <v>1</v>
      </c>
      <c r="K1" s="26" t="s">
        <v>228</v>
      </c>
      <c r="L1" s="26" t="s">
        <v>229</v>
      </c>
      <c r="M1" s="26" t="s">
        <v>230</v>
      </c>
      <c r="N1" s="26" t="s">
        <v>9</v>
      </c>
      <c r="O1" s="26" t="s">
        <v>231</v>
      </c>
      <c r="P1" s="26" t="s">
        <v>232</v>
      </c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6" t="s">
        <v>233</v>
      </c>
      <c r="B2" s="28">
        <v>1.0</v>
      </c>
      <c r="C2" s="29" t="str">
        <f t="array" ref="C2">IFERROR(XLOOKUP(F2, 'MAPA DE VTR BPMA'!A:A,'MAPA DE VTR BPMA'!D:D,"",0,-1),"Sem valor")</f>
        <v>ADMINISTRATIVO</v>
      </c>
      <c r="D2" s="29" t="str">
        <f t="array" ref="D2">IFERROR(XLOOKUP(F2, 'MAPA DE VTR BPMA'!A:A,'MAPA DE VTR BPMA'!E:E,"",0,-1),"Sem valor")</f>
        <v>AGRITECH</v>
      </c>
      <c r="E2" s="29">
        <f t="array" ref="E2">IFERROR(XLOOKUP(F2, 'MAPA DE VTR BPMA'!A:A,'MAPA DE VTR BPMA'!F:F,"",0,-1),"Sem valor")</f>
        <v>1175</v>
      </c>
      <c r="F2" s="30">
        <v>33183.0</v>
      </c>
      <c r="G2" s="29" t="str">
        <f t="array" ref="G2">IFERROR(XLOOKUP(F2, 'MAPA DE VTR BPMA'!A:A,'MAPA DE VTR BPMA'!L:L,"",0,-1),"Sem valor")</f>
        <v>JKA4548</v>
      </c>
      <c r="H2" s="28" t="s">
        <v>234</v>
      </c>
      <c r="I2" s="29">
        <f t="array" ref="I2">IFERROR(XLOOKUP(F2, 'MAPA DE VTR BPMA'!A:A,'MAPA DE VTR BPMA'!G:G,"",0,-1),"Sem valor")</f>
        <v>2010</v>
      </c>
      <c r="J2" s="29">
        <f t="array" ref="J2">IFERROR(XLOOKUP(F2, 'MAPA DE VTR BPMA'!A:A,'MAPA DE VTR BPMA'!B:B,"",0,-1),"Sem valor")</f>
        <v>3600150586</v>
      </c>
      <c r="K2" s="29" t="str">
        <f t="array" ref="K2">IFERROR(XLOOKUP($F2, 'MAPA DE VTR BPMA'!A:A,'MAPA DE VTR BPMA'!O:O,"",0,-1),"Sem valor")</f>
        <v>NÃO TEM</v>
      </c>
      <c r="L2" s="29" t="str">
        <f t="array" ref="L2">IFERROR(XLOOKUP($F2, 'MAPA DE VTR BPMA'!A:A,'MAPA DE VTR BPMA'!N:N,"",0,-1),"Sem valor")</f>
        <v>NÃO SE APLICA</v>
      </c>
      <c r="M2" s="29" t="str">
        <f t="array" ref="M2">IFERROR(XLOOKUP($F2, 'MAPA DE VTR BPMA'!A:A,'MAPA DE VTR BPMA'!I:I,"",0,-1),"Sem valor")</f>
        <v/>
      </c>
      <c r="N2" s="29" t="str">
        <f t="array" ref="N2">IFERROR(XLOOKUP($F2, 'MAPA DE VTR BPMA'!A:A,'MAPA DE VTR BPMA'!J:J,"",0,-1),"Sem valor")</f>
        <v>Disponível</v>
      </c>
      <c r="O2" s="29" t="str">
        <f t="array" ref="O2">IFERROR(XLOOKUP($F2, 'MAPA DE VTR BPMA'!A:A,'MAPA DE VTR BPMA'!H:H,"",0,-1),"Sem valor")</f>
        <v>LACUSTRE</v>
      </c>
      <c r="P2" s="29"/>
    </row>
    <row r="3" ht="37.5" customHeight="1">
      <c r="A3" s="26" t="s">
        <v>235</v>
      </c>
      <c r="B3" s="31">
        <f>B2</f>
        <v>1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26" t="s">
        <v>233</v>
      </c>
      <c r="B4" s="28">
        <v>1.0</v>
      </c>
      <c r="C4" s="29" t="str">
        <f t="array" ref="C4">IFERROR(XLOOKUP(F4, 'MAPA DE VTR BPMA'!A:A,'MAPA DE VTR BPMA'!D:D,"",0,-1),"Sem valor")</f>
        <v>OPERACIONAL</v>
      </c>
      <c r="D4" s="29" t="str">
        <f t="array" ref="D4">IFERROR(XLOOKUP(F4, 'MAPA DE VTR BPMA'!A:A,'MAPA DE VTR BPMA'!E:E,"",0,-1),"Sem valor")</f>
        <v>CHEVROLET</v>
      </c>
      <c r="E4" s="29" t="str">
        <f t="array" ref="E4">IFERROR(XLOOKUP(F4, 'MAPA DE VTR BPMA'!A:A,'MAPA DE VTR BPMA'!F:F,"",0,-1),"Sem valor")</f>
        <v>S10</v>
      </c>
      <c r="F4" s="30">
        <v>553197.0</v>
      </c>
      <c r="G4" s="29" t="str">
        <f t="array" ref="G4">IFERROR(XLOOKUP(F4, 'MAPA DE VTR BPMA'!A:A,'MAPA DE VTR BPMA'!L:L,"",0,-1),"Sem valor")</f>
        <v>OVS-8840</v>
      </c>
      <c r="H4" s="28" t="s">
        <v>234</v>
      </c>
      <c r="I4" s="29">
        <f t="array" ref="I4">IFERROR(XLOOKUP(F4, 'MAPA DE VTR BPMA'!A:A,'MAPA DE VTR BPMA'!G:G,"",0,-1),"Sem valor")</f>
        <v>2014</v>
      </c>
      <c r="J4" s="29">
        <f t="array" ref="J4">IFERROR(XLOOKUP(F4, 'MAPA DE VTR BPMA'!A:A,'MAPA DE VTR BPMA'!B:B,"",0,-1),"Sem valor")</f>
        <v>3600205353</v>
      </c>
      <c r="K4" s="29">
        <f t="array" ref="K4">IFERROR(XLOOKUP($F4, 'MAPA DE VTR BPMA'!A:A,'MAPA DE VTR BPMA'!O:O,"",0,-1),"Sem valor")</f>
        <v>3600213116</v>
      </c>
      <c r="L4" s="29" t="str">
        <f t="array" ref="L4">IFERROR(XLOOKUP($F4, 'MAPA DE VTR BPMA'!A:A,'MAPA DE VTR BPMA'!N:N,"",0,-1),"Sem valor")</f>
        <v>NÃO SE APLICA</v>
      </c>
      <c r="M4" s="29" t="str">
        <f t="array" ref="M4">IFERROR(XLOOKUP($F4, 'MAPA DE VTR BPMA'!A:A,'MAPA DE VTR BPMA'!I:I,"",0,-1),"Sem valor")</f>
        <v/>
      </c>
      <c r="N4" s="29" t="str">
        <f t="array" ref="N4">IFERROR(XLOOKUP($F4, 'MAPA DE VTR BPMA'!A:A,'MAPA DE VTR BPMA'!J:J,"",0,-1),"Sem valor")</f>
        <v>Disponível</v>
      </c>
      <c r="O4" s="29" t="str">
        <f t="array" ref="O4">IFERROR(XLOOKUP($F4, 'MAPA DE VTR BPMA'!A:A,'MAPA DE VTR BPMA'!H:H,"",0,-1),"Sem valor")</f>
        <v>SEDE BPMA</v>
      </c>
      <c r="P4" s="29"/>
    </row>
    <row r="5">
      <c r="A5" s="26" t="s">
        <v>233</v>
      </c>
      <c r="B5" s="28">
        <v>2.0</v>
      </c>
      <c r="C5" s="29" t="str">
        <f t="array" ref="C5">IFERROR(XLOOKUP(F5, 'MAPA DE VTR BPMA'!A:A,'MAPA DE VTR BPMA'!D:D,"",0,-1),"Sem valor")</f>
        <v>OPERACIONAL</v>
      </c>
      <c r="D5" s="29" t="str">
        <f t="array" ref="D5">IFERROR(XLOOKUP(F5, 'MAPA DE VTR BPMA'!A:A,'MAPA DE VTR BPMA'!E:E,"",0,-1),"Sem valor")</f>
        <v>CHEVROLET</v>
      </c>
      <c r="E5" s="29" t="str">
        <f t="array" ref="E5">IFERROR(XLOOKUP(F5, 'MAPA DE VTR BPMA'!A:A,'MAPA DE VTR BPMA'!F:F,"",0,-1),"Sem valor")</f>
        <v>S10</v>
      </c>
      <c r="F5" s="30">
        <v>553200.0</v>
      </c>
      <c r="G5" s="29" t="str">
        <f t="array" ref="G5">IFERROR(XLOOKUP(F5, 'MAPA DE VTR BPMA'!A:A,'MAPA DE VTR BPMA'!L:L,"",0,-1),"Sem valor")</f>
        <v>OVS-9717</v>
      </c>
      <c r="H5" s="28" t="s">
        <v>234</v>
      </c>
      <c r="I5" s="29">
        <f t="array" ref="I5">IFERROR(XLOOKUP(F5, 'MAPA DE VTR BPMA'!A:A,'MAPA DE VTR BPMA'!G:G,"",0,-1),"Sem valor")</f>
        <v>2014</v>
      </c>
      <c r="J5" s="29">
        <f t="array" ref="J5">IFERROR(XLOOKUP(F5, 'MAPA DE VTR BPMA'!A:A,'MAPA DE VTR BPMA'!B:B,"",0,-1),"Sem valor")</f>
        <v>3600205306</v>
      </c>
      <c r="K5" s="29">
        <f t="array" ref="K5">IFERROR(XLOOKUP($F5, 'MAPA DE VTR BPMA'!A:A,'MAPA DE VTR BPMA'!O:O,"",0,-1),"Sem valor")</f>
        <v>3600213122</v>
      </c>
      <c r="L5" s="29" t="str">
        <f t="array" ref="L5">IFERROR(XLOOKUP($F5, 'MAPA DE VTR BPMA'!A:A,'MAPA DE VTR BPMA'!N:N,"",0,-1),"Sem valor")</f>
        <v>NÃO SE APLICA</v>
      </c>
      <c r="M5" s="29" t="str">
        <f t="array" ref="M5">IFERROR(XLOOKUP($F5, 'MAPA DE VTR BPMA'!A:A,'MAPA DE VTR BPMA'!I:I,"",0,-1),"Sem valor")</f>
        <v/>
      </c>
      <c r="N5" s="29" t="str">
        <f t="array" ref="N5">IFERROR(XLOOKUP($F5, 'MAPA DE VTR BPMA'!A:A,'MAPA DE VTR BPMA'!J:J,"",0,-1),"Sem valor")</f>
        <v>Descarga</v>
      </c>
      <c r="O5" s="29" t="str">
        <f t="array" ref="O5">IFERROR(XLOOKUP($F5, 'MAPA DE VTR BPMA'!A:A,'MAPA DE VTR BPMA'!H:H,"",0,-1),"Sem valor")</f>
        <v>SEDE BPMA</v>
      </c>
      <c r="P5" s="29"/>
    </row>
    <row r="6">
      <c r="A6" s="26" t="s">
        <v>233</v>
      </c>
      <c r="B6" s="28">
        <v>3.0</v>
      </c>
      <c r="C6" s="29" t="str">
        <f t="array" ref="C6">IFERROR(XLOOKUP(F6, 'MAPA DE VTR BPMA'!A:A,'MAPA DE VTR BPMA'!D:D,"",0,-1),"Sem valor")</f>
        <v>OPERACIONAL</v>
      </c>
      <c r="D6" s="29" t="str">
        <f t="array" ref="D6">IFERROR(XLOOKUP(F6, 'MAPA DE VTR BPMA'!A:A,'MAPA DE VTR BPMA'!E:E,"",0,-1),"Sem valor")</f>
        <v>CHEVROLET</v>
      </c>
      <c r="E6" s="29" t="str">
        <f t="array" ref="E6">IFERROR(XLOOKUP(F6, 'MAPA DE VTR BPMA'!A:A,'MAPA DE VTR BPMA'!F:F,"",0,-1),"Sem valor")</f>
        <v>S10</v>
      </c>
      <c r="F6" s="30">
        <v>553204.0</v>
      </c>
      <c r="G6" s="29" t="str">
        <f t="array" ref="G6">IFERROR(XLOOKUP(F6, 'MAPA DE VTR BPMA'!A:A,'MAPA DE VTR BPMA'!L:L,"",0,-1),"Sem valor")</f>
        <v>OVS-8845</v>
      </c>
      <c r="H6" s="28" t="s">
        <v>234</v>
      </c>
      <c r="I6" s="29">
        <f t="array" ref="I6">IFERROR(XLOOKUP(F6, 'MAPA DE VTR BPMA'!A:A,'MAPA DE VTR BPMA'!G:G,"",0,-1),"Sem valor")</f>
        <v>2014</v>
      </c>
      <c r="J6" s="29">
        <f t="array" ref="J6">IFERROR(XLOOKUP(F6, 'MAPA DE VTR BPMA'!A:A,'MAPA DE VTR BPMA'!B:B,"",0,-1),"Sem valor")</f>
        <v>3600205310</v>
      </c>
      <c r="K6" s="29">
        <f t="array" ref="K6">IFERROR(XLOOKUP($F6, 'MAPA DE VTR BPMA'!A:A,'MAPA DE VTR BPMA'!O:O,"",0,-1),"Sem valor")</f>
        <v>3600213142</v>
      </c>
      <c r="L6" s="29" t="str">
        <f t="array" ref="L6">IFERROR(XLOOKUP($F6, 'MAPA DE VTR BPMA'!A:A,'MAPA DE VTR BPMA'!N:N,"",0,-1),"Sem valor")</f>
        <v>NÃO SE APLICA</v>
      </c>
      <c r="M6" s="29" t="str">
        <f t="array" ref="M6">IFERROR(XLOOKUP($F6, 'MAPA DE VTR BPMA'!A:A,'MAPA DE VTR BPMA'!I:I,"",0,-1),"Sem valor")</f>
        <v/>
      </c>
      <c r="N6" s="29" t="str">
        <f t="array" ref="N6">IFERROR(XLOOKUP($F6, 'MAPA DE VTR BPMA'!A:A,'MAPA DE VTR BPMA'!J:J,"",0,-1),"Sem valor")</f>
        <v>Indisponível</v>
      </c>
      <c r="O6" s="29" t="str">
        <f t="array" ref="O6">IFERROR(XLOOKUP($F6, 'MAPA DE VTR BPMA'!A:A,'MAPA DE VTR BPMA'!H:H,"",0,-1),"Sem valor")</f>
        <v>SEDE BPMA</v>
      </c>
      <c r="P6" s="29"/>
    </row>
    <row r="7">
      <c r="A7" s="26" t="s">
        <v>233</v>
      </c>
      <c r="B7" s="28">
        <v>4.0</v>
      </c>
      <c r="C7" s="29" t="str">
        <f t="array" ref="C7">IFERROR(XLOOKUP(F7, 'MAPA DE VTR BPMA'!A:A,'MAPA DE VTR BPMA'!D:D,"",0,-1),"Sem valor")</f>
        <v>OPERACIONAL</v>
      </c>
      <c r="D7" s="29" t="str">
        <f t="array" ref="D7">IFERROR(XLOOKUP(F7, 'MAPA DE VTR BPMA'!A:A,'MAPA DE VTR BPMA'!E:E,"",0,-1),"Sem valor")</f>
        <v>CHEVROLET</v>
      </c>
      <c r="E7" s="29" t="str">
        <f t="array" ref="E7">IFERROR(XLOOKUP(F7, 'MAPA DE VTR BPMA'!A:A,'MAPA DE VTR BPMA'!F:F,"",0,-1),"Sem valor")</f>
        <v>S10</v>
      </c>
      <c r="F7" s="30">
        <v>553206.0</v>
      </c>
      <c r="G7" s="29" t="str">
        <f t="array" ref="G7">IFERROR(XLOOKUP(F7, 'MAPA DE VTR BPMA'!A:A,'MAPA DE VTR BPMA'!L:L,"",0,-1),"Sem valor")</f>
        <v>OVS-9707</v>
      </c>
      <c r="H7" s="28" t="s">
        <v>234</v>
      </c>
      <c r="I7" s="29">
        <f t="array" ref="I7">IFERROR(XLOOKUP(F7, 'MAPA DE VTR BPMA'!A:A,'MAPA DE VTR BPMA'!G:G,"",0,-1),"Sem valor")</f>
        <v>2014</v>
      </c>
      <c r="J7" s="29">
        <f t="array" ref="J7">IFERROR(XLOOKUP(F7, 'MAPA DE VTR BPMA'!A:A,'MAPA DE VTR BPMA'!B:B,"",0,-1),"Sem valor")</f>
        <v>3600205300</v>
      </c>
      <c r="K7" s="29" t="str">
        <f t="array" ref="K7">IFERROR(XLOOKUP($F7, 'MAPA DE VTR BPMA'!A:A,'MAPA DE VTR BPMA'!O:O,"",0,-1),"Sem valor")</f>
        <v>NÃO TEM</v>
      </c>
      <c r="L7" s="29" t="str">
        <f t="array" ref="L7">IFERROR(XLOOKUP($F7, 'MAPA DE VTR BPMA'!A:A,'MAPA DE VTR BPMA'!N:N,"",0,-1),"Sem valor")</f>
        <v>NÃO SE APLICA</v>
      </c>
      <c r="M7" s="29" t="str">
        <f t="array" ref="M7">IFERROR(XLOOKUP($F7, 'MAPA DE VTR BPMA'!A:A,'MAPA DE VTR BPMA'!I:I,"",0,-1),"Sem valor")</f>
        <v/>
      </c>
      <c r="N7" s="29" t="str">
        <f t="array" ref="N7">IFERROR(XLOOKUP($F7, 'MAPA DE VTR BPMA'!A:A,'MAPA DE VTR BPMA'!J:J,"",0,-1),"Sem valor")</f>
        <v>Disponível</v>
      </c>
      <c r="O7" s="29" t="str">
        <f t="array" ref="O7">IFERROR(XLOOKUP($F7, 'MAPA DE VTR BPMA'!A:A,'MAPA DE VTR BPMA'!H:H,"",0,-1),"Sem valor")</f>
        <v>SEDE BPMA</v>
      </c>
      <c r="P7" s="29"/>
    </row>
    <row r="8">
      <c r="A8" s="26" t="s">
        <v>233</v>
      </c>
      <c r="B8" s="28">
        <v>5.0</v>
      </c>
      <c r="C8" s="29" t="str">
        <f t="array" ref="C8">IFERROR(XLOOKUP(F8, 'MAPA DE VTR BPMA'!A:A,'MAPA DE VTR BPMA'!D:D,"",0,-1),"Sem valor")</f>
        <v>OPERACIONAL</v>
      </c>
      <c r="D8" s="29" t="str">
        <f t="array" ref="D8">IFERROR(XLOOKUP(F8, 'MAPA DE VTR BPMA'!A:A,'MAPA DE VTR BPMA'!E:E,"",0,-1),"Sem valor")</f>
        <v>CHEVROLET</v>
      </c>
      <c r="E8" s="29" t="str">
        <f t="array" ref="E8">IFERROR(XLOOKUP(F8, 'MAPA DE VTR BPMA'!A:A,'MAPA DE VTR BPMA'!F:F,"",0,-1),"Sem valor")</f>
        <v>S10</v>
      </c>
      <c r="F8" s="30">
        <v>553210.0</v>
      </c>
      <c r="G8" s="29" t="str">
        <f t="array" ref="G8">IFERROR(XLOOKUP(F8, 'MAPA DE VTR BPMA'!A:A,'MAPA DE VTR BPMA'!L:L,"",0,-1),"Sem valor")</f>
        <v>OVS-9715</v>
      </c>
      <c r="H8" s="28" t="s">
        <v>234</v>
      </c>
      <c r="I8" s="29">
        <f t="array" ref="I8">IFERROR(XLOOKUP(F8, 'MAPA DE VTR BPMA'!A:A,'MAPA DE VTR BPMA'!G:G,"",0,-1),"Sem valor")</f>
        <v>2014</v>
      </c>
      <c r="J8" s="29">
        <f t="array" ref="J8">IFERROR(XLOOKUP(F8, 'MAPA DE VTR BPMA'!A:A,'MAPA DE VTR BPMA'!B:B,"",0,-1),"Sem valor")</f>
        <v>3600205301</v>
      </c>
      <c r="K8" s="29" t="str">
        <f t="array" ref="K8">IFERROR(XLOOKUP($F8, 'MAPA DE VTR BPMA'!A:A,'MAPA DE VTR BPMA'!O:O,"",0,-1),"Sem valor")</f>
        <v>NÃO TEM</v>
      </c>
      <c r="L8" s="29" t="str">
        <f t="array" ref="L8">IFERROR(XLOOKUP($F8, 'MAPA DE VTR BPMA'!A:A,'MAPA DE VTR BPMA'!N:N,"",0,-1),"Sem valor")</f>
        <v>NÃO SE APLICA</v>
      </c>
      <c r="M8" s="29" t="str">
        <f t="array" ref="M8">IFERROR(XLOOKUP($F8, 'MAPA DE VTR BPMA'!A:A,'MAPA DE VTR BPMA'!I:I,"",0,-1),"Sem valor")</f>
        <v/>
      </c>
      <c r="N8" s="29" t="str">
        <f t="array" ref="N8">IFERROR(XLOOKUP($F8, 'MAPA DE VTR BPMA'!A:A,'MAPA DE VTR BPMA'!J:J,"",0,-1),"Sem valor")</f>
        <v>Disponível</v>
      </c>
      <c r="O8" s="29" t="str">
        <f t="array" ref="O8">IFERROR(XLOOKUP($F8, 'MAPA DE VTR BPMA'!A:A,'MAPA DE VTR BPMA'!H:H,"",0,-1),"Sem valor")</f>
        <v>SEDE BPMA</v>
      </c>
      <c r="P8" s="29"/>
    </row>
    <row r="9">
      <c r="A9" s="26" t="s">
        <v>233</v>
      </c>
      <c r="B9" s="28">
        <v>6.0</v>
      </c>
      <c r="C9" s="29" t="str">
        <f t="array" ref="C9">IFERROR(XLOOKUP(F9, 'MAPA DE VTR BPMA'!A:A,'MAPA DE VTR BPMA'!D:D,"",0,-1),"Sem valor")</f>
        <v>OPERACIONAL</v>
      </c>
      <c r="D9" s="29" t="str">
        <f t="array" ref="D9">IFERROR(XLOOKUP(F9, 'MAPA DE VTR BPMA'!A:A,'MAPA DE VTR BPMA'!E:E,"",0,-1),"Sem valor")</f>
        <v>CHEVROLET</v>
      </c>
      <c r="E9" s="29" t="str">
        <f t="array" ref="E9">IFERROR(XLOOKUP(F9, 'MAPA DE VTR BPMA'!A:A,'MAPA DE VTR BPMA'!F:F,"",0,-1),"Sem valor")</f>
        <v>S10</v>
      </c>
      <c r="F9" s="30">
        <v>553215.0</v>
      </c>
      <c r="G9" s="29" t="str">
        <f t="array" ref="G9">IFERROR(XLOOKUP(F9, 'MAPA DE VTR BPMA'!A:A,'MAPA DE VTR BPMA'!L:L,"",0,-1),"Sem valor")</f>
        <v>OVS-9711</v>
      </c>
      <c r="H9" s="28" t="s">
        <v>234</v>
      </c>
      <c r="I9" s="29">
        <f t="array" ref="I9">IFERROR(XLOOKUP(F9, 'MAPA DE VTR BPMA'!A:A,'MAPA DE VTR BPMA'!G:G,"",0,-1),"Sem valor")</f>
        <v>2014</v>
      </c>
      <c r="J9" s="29">
        <f t="array" ref="J9">IFERROR(XLOOKUP(F9, 'MAPA DE VTR BPMA'!A:A,'MAPA DE VTR BPMA'!B:B,"",0,-1),"Sem valor")</f>
        <v>3600205314</v>
      </c>
      <c r="K9" s="29" t="str">
        <f t="array" ref="K9">IFERROR(XLOOKUP($F9, 'MAPA DE VTR BPMA'!A:A,'MAPA DE VTR BPMA'!O:O,"",0,-1),"Sem valor")</f>
        <v>NÃO TEM</v>
      </c>
      <c r="L9" s="29" t="str">
        <f t="array" ref="L9">IFERROR(XLOOKUP($F9, 'MAPA DE VTR BPMA'!A:A,'MAPA DE VTR BPMA'!N:N,"",0,-1),"Sem valor")</f>
        <v>NÃO SE APLICA</v>
      </c>
      <c r="M9" s="29" t="str">
        <f t="array" ref="M9">IFERROR(XLOOKUP($F9, 'MAPA DE VTR BPMA'!A:A,'MAPA DE VTR BPMA'!I:I,"",0,-1),"Sem valor")</f>
        <v/>
      </c>
      <c r="N9" s="29" t="str">
        <f t="array" ref="N9">IFERROR(XLOOKUP($F9, 'MAPA DE VTR BPMA'!A:A,'MAPA DE VTR BPMA'!J:J,"",0,-1),"Sem valor")</f>
        <v>Disponível</v>
      </c>
      <c r="O9" s="29" t="str">
        <f t="array" ref="O9">IFERROR(XLOOKUP($F9, 'MAPA DE VTR BPMA'!A:A,'MAPA DE VTR BPMA'!H:H,"",0,-1),"Sem valor")</f>
        <v>SEDE BPMA</v>
      </c>
      <c r="P9" s="29"/>
    </row>
    <row r="10">
      <c r="A10" s="26" t="s">
        <v>233</v>
      </c>
      <c r="B10" s="28">
        <v>7.0</v>
      </c>
      <c r="C10" s="29" t="str">
        <f t="array" ref="C10">IFERROR(XLOOKUP(F10, 'MAPA DE VTR BPMA'!A:A,'MAPA DE VTR BPMA'!D:D,"",0,-1),"Sem valor")</f>
        <v>OPERACIONAL</v>
      </c>
      <c r="D10" s="29" t="str">
        <f t="array" ref="D10">IFERROR(XLOOKUP(F10, 'MAPA DE VTR BPMA'!A:A,'MAPA DE VTR BPMA'!E:E,"",0,-1),"Sem valor")</f>
        <v>CHEVROLET</v>
      </c>
      <c r="E10" s="29" t="str">
        <f t="array" ref="E10">IFERROR(XLOOKUP(F10, 'MAPA DE VTR BPMA'!A:A,'MAPA DE VTR BPMA'!F:F,"",0,-1),"Sem valor")</f>
        <v>S10</v>
      </c>
      <c r="F10" s="30">
        <v>553216.0</v>
      </c>
      <c r="G10" s="29" t="str">
        <f t="array" ref="G10">IFERROR(XLOOKUP(F10, 'MAPA DE VTR BPMA'!A:A,'MAPA DE VTR BPMA'!L:L,"",0,-1),"Sem valor")</f>
        <v>OVS-9714</v>
      </c>
      <c r="H10" s="28" t="s">
        <v>234</v>
      </c>
      <c r="I10" s="29">
        <f t="array" ref="I10">IFERROR(XLOOKUP(F10, 'MAPA DE VTR BPMA'!A:A,'MAPA DE VTR BPMA'!G:G,"",0,-1),"Sem valor")</f>
        <v>2014</v>
      </c>
      <c r="J10" s="29">
        <f t="array" ref="J10">IFERROR(XLOOKUP(F10, 'MAPA DE VTR BPMA'!A:A,'MAPA DE VTR BPMA'!B:B,"",0,-1),"Sem valor")</f>
        <v>3600205309</v>
      </c>
      <c r="K10" s="29">
        <f t="array" ref="K10">IFERROR(XLOOKUP($F10, 'MAPA DE VTR BPMA'!A:A,'MAPA DE VTR BPMA'!O:O,"",0,-1),"Sem valor")</f>
        <v>3600213133</v>
      </c>
      <c r="L10" s="29" t="str">
        <f t="array" ref="L10">IFERROR(XLOOKUP($F10, 'MAPA DE VTR BPMA'!A:A,'MAPA DE VTR BPMA'!N:N,"",0,-1),"Sem valor")</f>
        <v>NÃO SE APLICA</v>
      </c>
      <c r="M10" s="29" t="str">
        <f t="array" ref="M10">IFERROR(XLOOKUP($F10, 'MAPA DE VTR BPMA'!A:A,'MAPA DE VTR BPMA'!I:I,"",0,-1),"Sem valor")</f>
        <v/>
      </c>
      <c r="N10" s="29" t="str">
        <f t="array" ref="N10">IFERROR(XLOOKUP($F10, 'MAPA DE VTR BPMA'!A:A,'MAPA DE VTR BPMA'!J:J,"",0,-1),"Sem valor")</f>
        <v>Disponível</v>
      </c>
      <c r="O10" s="29" t="str">
        <f t="array" ref="O10">IFERROR(XLOOKUP($F10, 'MAPA DE VTR BPMA'!A:A,'MAPA DE VTR BPMA'!H:H,"",0,-1),"Sem valor")</f>
        <v>SEDE BPMA</v>
      </c>
      <c r="P10" s="29"/>
    </row>
    <row r="11">
      <c r="A11" s="26" t="s">
        <v>233</v>
      </c>
      <c r="B11" s="28">
        <v>8.0</v>
      </c>
      <c r="C11" s="29" t="str">
        <f t="array" ref="C11">IFERROR(XLOOKUP(F11, 'MAPA DE VTR BPMA'!A:A,'MAPA DE VTR BPMA'!D:D,"",0,-1),"Sem valor")</f>
        <v>OPERACIONAL</v>
      </c>
      <c r="D11" s="29" t="str">
        <f t="array" ref="D11">IFERROR(XLOOKUP(F11, 'MAPA DE VTR BPMA'!A:A,'MAPA DE VTR BPMA'!E:E,"",0,-1),"Sem valor")</f>
        <v>CHEVROLET</v>
      </c>
      <c r="E11" s="29" t="str">
        <f t="array" ref="E11">IFERROR(XLOOKUP(F11, 'MAPA DE VTR BPMA'!A:A,'MAPA DE VTR BPMA'!F:F,"",0,-1),"Sem valor")</f>
        <v>S10</v>
      </c>
      <c r="F11" s="30">
        <v>553217.0</v>
      </c>
      <c r="G11" s="29" t="str">
        <f t="array" ref="G11">IFERROR(XLOOKUP(F11, 'MAPA DE VTR BPMA'!A:A,'MAPA DE VTR BPMA'!L:L,"",0,-1),"Sem valor")</f>
        <v>OVS-9721</v>
      </c>
      <c r="H11" s="28" t="s">
        <v>234</v>
      </c>
      <c r="I11" s="29">
        <f t="array" ref="I11">IFERROR(XLOOKUP(F11, 'MAPA DE VTR BPMA'!A:A,'MAPA DE VTR BPMA'!G:G,"",0,-1),"Sem valor")</f>
        <v>2014</v>
      </c>
      <c r="J11" s="29">
        <f t="array" ref="J11">IFERROR(XLOOKUP(F11, 'MAPA DE VTR BPMA'!A:A,'MAPA DE VTR BPMA'!B:B,"",0,-1),"Sem valor")</f>
        <v>3600205318</v>
      </c>
      <c r="K11" s="29">
        <f t="array" ref="K11">IFERROR(XLOOKUP($F11, 'MAPA DE VTR BPMA'!A:A,'MAPA DE VTR BPMA'!O:O,"",0,-1),"Sem valor")</f>
        <v>3600213151</v>
      </c>
      <c r="L11" s="29" t="str">
        <f t="array" ref="L11">IFERROR(XLOOKUP($F11, 'MAPA DE VTR BPMA'!A:A,'MAPA DE VTR BPMA'!N:N,"",0,-1),"Sem valor")</f>
        <v>NÃO SE APLICA</v>
      </c>
      <c r="M11" s="29" t="str">
        <f t="array" ref="M11">IFERROR(XLOOKUP($F11, 'MAPA DE VTR BPMA'!A:A,'MAPA DE VTR BPMA'!I:I,"",0,-1),"Sem valor")</f>
        <v/>
      </c>
      <c r="N11" s="29" t="str">
        <f t="array" ref="N11">IFERROR(XLOOKUP($F11, 'MAPA DE VTR BPMA'!A:A,'MAPA DE VTR BPMA'!J:J,"",0,-1),"Sem valor")</f>
        <v>Indisponível</v>
      </c>
      <c r="O11" s="29" t="str">
        <f t="array" ref="O11">IFERROR(XLOOKUP($F11, 'MAPA DE VTR BPMA'!A:A,'MAPA DE VTR BPMA'!H:H,"",0,-1),"Sem valor")</f>
        <v>SEDE BPMA</v>
      </c>
      <c r="P11" s="29"/>
    </row>
    <row r="12">
      <c r="A12" s="26" t="s">
        <v>233</v>
      </c>
      <c r="B12" s="28">
        <v>9.0</v>
      </c>
      <c r="C12" s="29" t="str">
        <f t="array" ref="C12">IFERROR(XLOOKUP(F12, 'MAPA DE VTR BPMA'!A:A,'MAPA DE VTR BPMA'!D:D,"",0,-1),"Sem valor")</f>
        <v>OPERACIONAL</v>
      </c>
      <c r="D12" s="29" t="str">
        <f t="array" ref="D12">IFERROR(XLOOKUP(F12, 'MAPA DE VTR BPMA'!A:A,'MAPA DE VTR BPMA'!E:E,"",0,-1),"Sem valor")</f>
        <v>CHEVROLET</v>
      </c>
      <c r="E12" s="29" t="str">
        <f t="array" ref="E12">IFERROR(XLOOKUP(F12, 'MAPA DE VTR BPMA'!A:A,'MAPA DE VTR BPMA'!F:F,"",0,-1),"Sem valor")</f>
        <v>S10</v>
      </c>
      <c r="F12" s="30">
        <v>553218.0</v>
      </c>
      <c r="G12" s="29" t="str">
        <f t="array" ref="G12">IFERROR(XLOOKUP(F12, 'MAPA DE VTR BPMA'!A:A,'MAPA DE VTR BPMA'!L:L,"",0,-1),"Sem valor")</f>
        <v>OVS-8850</v>
      </c>
      <c r="H12" s="28" t="s">
        <v>234</v>
      </c>
      <c r="I12" s="29">
        <f t="array" ref="I12">IFERROR(XLOOKUP(F12, 'MAPA DE VTR BPMA'!A:A,'MAPA DE VTR BPMA'!G:G,"",0,-1),"Sem valor")</f>
        <v>2014</v>
      </c>
      <c r="J12" s="29">
        <f t="array" ref="J12">IFERROR(XLOOKUP(F12, 'MAPA DE VTR BPMA'!A:A,'MAPA DE VTR BPMA'!B:B,"",0,-1),"Sem valor")</f>
        <v>3600205299</v>
      </c>
      <c r="K12" s="29" t="str">
        <f t="array" ref="K12">IFERROR(XLOOKUP($F12, 'MAPA DE VTR BPMA'!A:A,'MAPA DE VTR BPMA'!O:O,"",0,-1),"Sem valor")</f>
        <v>NÃO TEM</v>
      </c>
      <c r="L12" s="29" t="str">
        <f t="array" ref="L12">IFERROR(XLOOKUP($F12, 'MAPA DE VTR BPMA'!A:A,'MAPA DE VTR BPMA'!N:N,"",0,-1),"Sem valor")</f>
        <v>NÃO SE APLICA</v>
      </c>
      <c r="M12" s="29" t="str">
        <f t="array" ref="M12">IFERROR(XLOOKUP($F12, 'MAPA DE VTR BPMA'!A:A,'MAPA DE VTR BPMA'!I:I,"",0,-1),"Sem valor")</f>
        <v/>
      </c>
      <c r="N12" s="29" t="str">
        <f t="array" ref="N12">IFERROR(XLOOKUP($F12, 'MAPA DE VTR BPMA'!A:A,'MAPA DE VTR BPMA'!J:J,"",0,-1),"Sem valor")</f>
        <v>Descarga</v>
      </c>
      <c r="O12" s="29" t="str">
        <f t="array" ref="O12">IFERROR(XLOOKUP($F12, 'MAPA DE VTR BPMA'!A:A,'MAPA DE VTR BPMA'!H:H,"",0,-1),"Sem valor")</f>
        <v>SEDE BPMA</v>
      </c>
      <c r="P12" s="29"/>
    </row>
    <row r="13">
      <c r="A13" s="26" t="s">
        <v>233</v>
      </c>
      <c r="B13" s="28">
        <v>10.0</v>
      </c>
      <c r="C13" s="29" t="str">
        <f t="array" ref="C13">IFERROR(XLOOKUP(F13, 'MAPA DE VTR BPMA'!A:A,'MAPA DE VTR BPMA'!D:D,"",0,-1),"Sem valor")</f>
        <v>OPERACIONAL</v>
      </c>
      <c r="D13" s="29" t="str">
        <f t="array" ref="D13">IFERROR(XLOOKUP(F13, 'MAPA DE VTR BPMA'!A:A,'MAPA DE VTR BPMA'!E:E,"",0,-1),"Sem valor")</f>
        <v>CHEVROLET</v>
      </c>
      <c r="E13" s="29" t="str">
        <f t="array" ref="E13">IFERROR(XLOOKUP(F13, 'MAPA DE VTR BPMA'!A:A,'MAPA DE VTR BPMA'!F:F,"",0,-1),"Sem valor")</f>
        <v>S10</v>
      </c>
      <c r="F13" s="30">
        <v>553236.0</v>
      </c>
      <c r="G13" s="29" t="str">
        <f t="array" ref="G13">IFERROR(XLOOKUP(F13, 'MAPA DE VTR BPMA'!A:A,'MAPA DE VTR BPMA'!L:L,"",0,-1),"Sem valor")</f>
        <v>OVS-8813</v>
      </c>
      <c r="H13" s="28" t="s">
        <v>234</v>
      </c>
      <c r="I13" s="29">
        <f t="array" ref="I13">IFERROR(XLOOKUP(F13, 'MAPA DE VTR BPMA'!A:A,'MAPA DE VTR BPMA'!G:G,"",0,-1),"Sem valor")</f>
        <v>2014</v>
      </c>
      <c r="J13" s="29">
        <f t="array" ref="J13">IFERROR(XLOOKUP(F13, 'MAPA DE VTR BPMA'!A:A,'MAPA DE VTR BPMA'!B:B,"",0,-1),"Sem valor")</f>
        <v>3600205339</v>
      </c>
      <c r="K13" s="29">
        <f t="array" ref="K13">IFERROR(XLOOKUP($F13, 'MAPA DE VTR BPMA'!A:A,'MAPA DE VTR BPMA'!O:O,"",0,-1),"Sem valor")</f>
        <v>3600213119</v>
      </c>
      <c r="L13" s="29" t="str">
        <f t="array" ref="L13">IFERROR(XLOOKUP($F13, 'MAPA DE VTR BPMA'!A:A,'MAPA DE VTR BPMA'!N:N,"",0,-1),"Sem valor")</f>
        <v>NÃO SE APLICA</v>
      </c>
      <c r="M13" s="29" t="str">
        <f t="array" ref="M13">IFERROR(XLOOKUP($F13, 'MAPA DE VTR BPMA'!A:A,'MAPA DE VTR BPMA'!I:I,"",0,-1),"Sem valor")</f>
        <v/>
      </c>
      <c r="N13" s="29" t="str">
        <f t="array" ref="N13">IFERROR(XLOOKUP($F13, 'MAPA DE VTR BPMA'!A:A,'MAPA DE VTR BPMA'!J:J,"",0,-1),"Sem valor")</f>
        <v>Indisponível</v>
      </c>
      <c r="O13" s="29" t="str">
        <f t="array" ref="O13">IFERROR(XLOOKUP($F13, 'MAPA DE VTR BPMA'!A:A,'MAPA DE VTR BPMA'!H:H,"",0,-1),"Sem valor")</f>
        <v>SEDE BPMA</v>
      </c>
      <c r="P13" s="29"/>
    </row>
    <row r="14">
      <c r="A14" s="26" t="s">
        <v>233</v>
      </c>
      <c r="B14" s="28">
        <v>11.0</v>
      </c>
      <c r="C14" s="29" t="str">
        <f t="array" ref="C14">IFERROR(XLOOKUP(F14, 'MAPA DE VTR BPMA'!A:A,'MAPA DE VTR BPMA'!D:D,"",0,-1),"Sem valor")</f>
        <v>OPERACIONAL</v>
      </c>
      <c r="D14" s="29" t="str">
        <f t="array" ref="D14">IFERROR(XLOOKUP(F14, 'MAPA DE VTR BPMA'!A:A,'MAPA DE VTR BPMA'!E:E,"",0,-1),"Sem valor")</f>
        <v>CHEVROLET</v>
      </c>
      <c r="E14" s="29" t="str">
        <f t="array" ref="E14">IFERROR(XLOOKUP(F14, 'MAPA DE VTR BPMA'!A:A,'MAPA DE VTR BPMA'!F:F,"",0,-1),"Sem valor")</f>
        <v>S10</v>
      </c>
      <c r="F14" s="30">
        <v>553252.0</v>
      </c>
      <c r="G14" s="29" t="str">
        <f t="array" ref="G14">IFERROR(XLOOKUP(F14, 'MAPA DE VTR BPMA'!A:A,'MAPA DE VTR BPMA'!L:L,"",0,-1),"Sem valor")</f>
        <v>OVS-8399</v>
      </c>
      <c r="H14" s="28" t="s">
        <v>234</v>
      </c>
      <c r="I14" s="29">
        <f t="array" ref="I14">IFERROR(XLOOKUP(F14, 'MAPA DE VTR BPMA'!A:A,'MAPA DE VTR BPMA'!G:G,"",0,-1),"Sem valor")</f>
        <v>2014</v>
      </c>
      <c r="J14" s="29">
        <f t="array" ref="J14">IFERROR(XLOOKUP(F14, 'MAPA DE VTR BPMA'!A:A,'MAPA DE VTR BPMA'!B:B,"",0,-1),"Sem valor")</f>
        <v>3600205325</v>
      </c>
      <c r="K14" s="29">
        <f t="array" ref="K14">IFERROR(XLOOKUP($F14, 'MAPA DE VTR BPMA'!A:A,'MAPA DE VTR BPMA'!O:O,"",0,-1),"Sem valor")</f>
        <v>3600213158</v>
      </c>
      <c r="L14" s="29" t="str">
        <f t="array" ref="L14">IFERROR(XLOOKUP($F14, 'MAPA DE VTR BPMA'!A:A,'MAPA DE VTR BPMA'!N:N,"",0,-1),"Sem valor")</f>
        <v>NÃO SE APLICA</v>
      </c>
      <c r="M14" s="29" t="str">
        <f t="array" ref="M14">IFERROR(XLOOKUP($F14, 'MAPA DE VTR BPMA'!A:A,'MAPA DE VTR BPMA'!I:I,"",0,-1),"Sem valor")</f>
        <v/>
      </c>
      <c r="N14" s="29" t="str">
        <f t="array" ref="N14">IFERROR(XLOOKUP($F14, 'MAPA DE VTR BPMA'!A:A,'MAPA DE VTR BPMA'!J:J,"",0,-1),"Sem valor")</f>
        <v>Indisponível</v>
      </c>
      <c r="O14" s="29" t="str">
        <f t="array" ref="O14">IFERROR(XLOOKUP($F14, 'MAPA DE VTR BPMA'!A:A,'MAPA DE VTR BPMA'!H:H,"",0,-1),"Sem valor")</f>
        <v>SEDE BPMA</v>
      </c>
      <c r="P14" s="29"/>
    </row>
    <row r="15">
      <c r="A15" s="26" t="s">
        <v>233</v>
      </c>
      <c r="B15" s="28">
        <v>12.0</v>
      </c>
      <c r="C15" s="29" t="str">
        <f t="array" ref="C15">IFERROR(XLOOKUP(F15, 'MAPA DE VTR BPMA'!A:A,'MAPA DE VTR BPMA'!D:D,"",0,-1),"Sem valor")</f>
        <v>OPERACIONAL</v>
      </c>
      <c r="D15" s="29" t="str">
        <f t="array" ref="D15">IFERROR(XLOOKUP(F15, 'MAPA DE VTR BPMA'!A:A,'MAPA DE VTR BPMA'!E:E,"",0,-1),"Sem valor")</f>
        <v>CHEVROLET</v>
      </c>
      <c r="E15" s="29" t="str">
        <f t="array" ref="E15">IFERROR(XLOOKUP(F15, 'MAPA DE VTR BPMA'!A:A,'MAPA DE VTR BPMA'!F:F,"",0,-1),"Sem valor")</f>
        <v>S10 LT DD4A</v>
      </c>
      <c r="F15" s="30">
        <v>554496.0</v>
      </c>
      <c r="G15" s="29" t="str">
        <f t="array" ref="G15">IFERROR(XLOOKUP(F15, 'MAPA DE VTR BPMA'!A:A,'MAPA DE VTR BPMA'!L:L,"",0,-1),"Sem valor")</f>
        <v>SGP2C23</v>
      </c>
      <c r="H15" s="28" t="s">
        <v>234</v>
      </c>
      <c r="I15" s="29">
        <f t="array" ref="I15">IFERROR(XLOOKUP(F15, 'MAPA DE VTR BPMA'!A:A,'MAPA DE VTR BPMA'!G:G,"",0,-1),"Sem valor")</f>
        <v>2022</v>
      </c>
      <c r="J15" s="29">
        <f t="array" ref="J15">IFERROR(XLOOKUP(F15, 'MAPA DE VTR BPMA'!A:A,'MAPA DE VTR BPMA'!B:B,"",0,-1),"Sem valor")</f>
        <v>200198856</v>
      </c>
      <c r="K15" s="29" t="str">
        <f t="array" ref="K15">IFERROR(XLOOKUP($F15, 'MAPA DE VTR BPMA'!A:A,'MAPA DE VTR BPMA'!O:O,"",0,-1),"Sem valor")</f>
        <v>INDEFINIDO</v>
      </c>
      <c r="L15" s="29" t="str">
        <f t="array" ref="L15">IFERROR(XLOOKUP($F15, 'MAPA DE VTR BPMA'!A:A,'MAPA DE VTR BPMA'!N:N,"",0,-1),"Sem valor")</f>
        <v>NÃO TEM TOMBAMENTO</v>
      </c>
      <c r="M15" s="29" t="str">
        <f t="array" ref="M15">IFERROR(XLOOKUP($F15, 'MAPA DE VTR BPMA'!A:A,'MAPA DE VTR BPMA'!I:I,"",0,-1),"Sem valor")</f>
        <v/>
      </c>
      <c r="N15" s="29" t="str">
        <f t="array" ref="N15">IFERROR(XLOOKUP($F15, 'MAPA DE VTR BPMA'!A:A,'MAPA DE VTR BPMA'!J:J,"",0,-1),"Sem valor")</f>
        <v>Disponível</v>
      </c>
      <c r="O15" s="29" t="str">
        <f t="array" ref="O15">IFERROR(XLOOKUP($F15, 'MAPA DE VTR BPMA'!A:A,'MAPA DE VTR BPMA'!H:H,"",0,-1),"Sem valor")</f>
        <v>INDEFINIDO</v>
      </c>
      <c r="P15" s="29"/>
    </row>
    <row r="16" ht="37.5" customHeight="1">
      <c r="A16" s="26" t="s">
        <v>236</v>
      </c>
      <c r="B16" s="31">
        <f>B15</f>
        <v>12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5" t="s">
        <v>233</v>
      </c>
      <c r="B17" s="36">
        <v>1.0</v>
      </c>
      <c r="C17" s="37" t="str">
        <f t="array" ref="C17">IFERROR(XLOOKUP(F17, 'MAPA DE VTR BPMA'!A:A,'MAPA DE VTR BPMA'!D:D,"",0,-1),"Sem valor")</f>
        <v>OPERACIONAL</v>
      </c>
      <c r="D17" s="37" t="str">
        <f t="array" ref="D17">IFERROR(XLOOKUP(F17, 'MAPA DE VTR BPMA'!A:A,'MAPA DE VTR BPMA'!E:E,"",0,-1),"Sem valor")</f>
        <v>FIAT</v>
      </c>
      <c r="E17" s="37" t="str">
        <f t="array" ref="E17">IFERROR(XLOOKUP(F17, 'MAPA DE VTR BPMA'!A:A,'MAPA DE VTR BPMA'!F:F,"",0,-1),"Sem valor")</f>
        <v>Ducato Multi TA 2.3</v>
      </c>
      <c r="F17" s="38">
        <v>552942.0</v>
      </c>
      <c r="G17" s="37">
        <f t="array" ref="G17">IFERROR(XLOOKUP(F17, 'MAPA DE VTR BPMA'!A:A,'MAPA DE VTR BPMA'!L:L,"",0,-1),"Sem valor")</f>
        <v>18</v>
      </c>
      <c r="H17" s="28" t="s">
        <v>234</v>
      </c>
      <c r="I17" s="37" t="str">
        <f t="array" ref="I17">IFERROR(XLOOKUP(F17, 'MAPA DE VTR BPMA'!A:A,'MAPA DE VTR BPMA'!G:G,"",0,-1),"Sem valor")</f>
        <v>2012/2013</v>
      </c>
      <c r="J17" s="37">
        <f t="array" ref="J17">IFERROR(XLOOKUP(F17, 'MAPA DE VTR BPMA'!A:A,'MAPA DE VTR BPMA'!B:B,"",0,-1),"Sem valor")</f>
        <v>3600182242</v>
      </c>
      <c r="K17" s="37">
        <f t="array" ref="K17">IFERROR(XLOOKUP($F17, 'MAPA DE VTR BPMA'!A:A,'MAPA DE VTR BPMA'!O:O,"",0,-1),"Sem valor")</f>
        <v>3600213121</v>
      </c>
      <c r="L17" s="37" t="str">
        <f t="array" ref="L17">IFERROR(XLOOKUP($F17, 'MAPA DE VTR BPMA'!A:A,'MAPA DE VTR BPMA'!N:N,"",0,-1),"Sem valor")</f>
        <v>NÃO SE APLICA</v>
      </c>
      <c r="M17" s="37" t="str">
        <f t="array" ref="M17">IFERROR(XLOOKUP($F17, 'MAPA DE VTR BPMA'!A:A,'MAPA DE VTR BPMA'!I:I,"",0,-1),"Sem valor")</f>
        <v/>
      </c>
      <c r="N17" s="37" t="str">
        <f t="array" ref="N17">IFERROR(XLOOKUP($F17, 'MAPA DE VTR BPMA'!A:A,'MAPA DE VTR BPMA'!J:J,"",0,-1),"Sem valor")</f>
        <v>Indisponível</v>
      </c>
      <c r="O17" s="37" t="str">
        <f t="array" ref="O17">IFERROR(XLOOKUP($F17, 'MAPA DE VTR BPMA'!A:A,'MAPA DE VTR BPMA'!H:H,"",0,-1),"Sem valor")</f>
        <v>PREALG</v>
      </c>
      <c r="P17" s="37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26" t="s">
        <v>233</v>
      </c>
      <c r="B18" s="28">
        <v>2.0</v>
      </c>
      <c r="C18" s="29" t="str">
        <f t="array" ref="C18">IFERROR(XLOOKUP(F18, 'MAPA DE VTR BPMA'!A:A,'MAPA DE VTR BPMA'!D:D,"",0,-1),"Sem valor")</f>
        <v>OPERACIONAL</v>
      </c>
      <c r="D18" s="29" t="str">
        <f t="array" ref="D18">IFERROR(XLOOKUP(F18, 'MAPA DE VTR BPMA'!A:A,'MAPA DE VTR BPMA'!E:E,"",0,-1),"Sem valor")</f>
        <v>MARCOPOLO</v>
      </c>
      <c r="E18" s="29" t="str">
        <f t="array" ref="E18">IFERROR(XLOOKUP(F18, 'MAPA DE VTR BPMA'!A:A,'MAPA DE VTR BPMA'!F:F,"",0,-1),"Sem valor")</f>
        <v>Volare W9</v>
      </c>
      <c r="F18" s="30">
        <v>55411.0</v>
      </c>
      <c r="G18" s="29" t="str">
        <f t="array" ref="G18">IFERROR(XLOOKUP(F18, 'MAPA DE VTR BPMA'!A:A,'MAPA DE VTR BPMA'!L:L,"",0,-1),"Sem valor")</f>
        <v>JJU-1689</v>
      </c>
      <c r="H18" s="28" t="s">
        <v>234</v>
      </c>
      <c r="I18" s="29">
        <f t="array" ref="I18">IFERROR(XLOOKUP(F18, 'MAPA DE VTR BPMA'!A:A,'MAPA DE VTR BPMA'!G:G,"",0,-1),"Sem valor")</f>
        <v>2012</v>
      </c>
      <c r="J18" s="29">
        <f t="array" ref="J18">IFERROR(XLOOKUP(F18, 'MAPA DE VTR BPMA'!A:A,'MAPA DE VTR BPMA'!B:B,"",0,-1),"Sem valor")</f>
        <v>3600175200</v>
      </c>
      <c r="K18" s="29" t="str">
        <f t="array" ref="K18">IFERROR(XLOOKUP($F18, 'MAPA DE VTR BPMA'!A:A,'MAPA DE VTR BPMA'!O:O,"",0,-1),"Sem valor")</f>
        <v>NÃO TEM</v>
      </c>
      <c r="L18" s="29" t="str">
        <f t="array" ref="L18">IFERROR(XLOOKUP($F18, 'MAPA DE VTR BPMA'!A:A,'MAPA DE VTR BPMA'!N:N,"",0,-1),"Sem valor")</f>
        <v>NÃO SE APLICA</v>
      </c>
      <c r="M18" s="29" t="str">
        <f t="array" ref="M18">IFERROR(XLOOKUP($F18, 'MAPA DE VTR BPMA'!A:A,'MAPA DE VTR BPMA'!I:I,"",0,-1),"Sem valor")</f>
        <v/>
      </c>
      <c r="N18" s="29" t="str">
        <f t="array" ref="N18">IFERROR(XLOOKUP($F18, 'MAPA DE VTR BPMA'!A:A,'MAPA DE VTR BPMA'!J:J,"",0,-1),"Sem valor")</f>
        <v>Disponível</v>
      </c>
      <c r="O18" s="29" t="str">
        <f t="array" ref="O18">IFERROR(XLOOKUP($F18, 'MAPA DE VTR BPMA'!A:A,'MAPA DE VTR BPMA'!H:H,"",0,-1),"Sem valor")</f>
        <v>LACUSTRE</v>
      </c>
      <c r="P18" s="40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26" t="s">
        <v>233</v>
      </c>
      <c r="B19" s="28">
        <v>3.0</v>
      </c>
      <c r="C19" s="29" t="str">
        <f t="array" ref="C19">IFERROR(XLOOKUP(F19, 'MAPA DE VTR BPMA'!A:A,'MAPA DE VTR BPMA'!D:D,"",0,-1),"Sem valor")</f>
        <v>OPERACIONAL</v>
      </c>
      <c r="D19" s="29" t="str">
        <f t="array" ref="D19">IFERROR(XLOOKUP(F19, 'MAPA DE VTR BPMA'!A:A,'MAPA DE VTR BPMA'!E:E,"",0,-1),"Sem valor")</f>
        <v>MARCOPOLO</v>
      </c>
      <c r="E19" s="29" t="str">
        <f t="array" ref="E19">IFERROR(XLOOKUP(F19, 'MAPA DE VTR BPMA'!A:A,'MAPA DE VTR BPMA'!F:F,"",0,-1),"Sem valor")</f>
        <v>Volare W9</v>
      </c>
      <c r="F19" s="30">
        <v>55423.0</v>
      </c>
      <c r="G19" s="29" t="str">
        <f t="array" ref="G19">IFERROR(XLOOKUP(F19, 'MAPA DE VTR BPMA'!A:A,'MAPA DE VTR BPMA'!L:L,"",0,-1),"Sem valor")</f>
        <v>JJU-1799</v>
      </c>
      <c r="H19" s="28" t="s">
        <v>234</v>
      </c>
      <c r="I19" s="29">
        <f t="array" ref="I19">IFERROR(XLOOKUP(F19, 'MAPA DE VTR BPMA'!A:A,'MAPA DE VTR BPMA'!G:G,"",0,-1),"Sem valor")</f>
        <v>2012</v>
      </c>
      <c r="J19" s="29">
        <f t="array" ref="J19">IFERROR(XLOOKUP(F19, 'MAPA DE VTR BPMA'!A:A,'MAPA DE VTR BPMA'!B:B,"",0,-1),"Sem valor")</f>
        <v>3600175206</v>
      </c>
      <c r="K19" s="29" t="str">
        <f t="array" ref="K19">IFERROR(XLOOKUP($F19, 'MAPA DE VTR BPMA'!A:A,'MAPA DE VTR BPMA'!O:O,"",0,-1),"Sem valor")</f>
        <v>NÃO TEM</v>
      </c>
      <c r="L19" s="29" t="str">
        <f t="array" ref="L19">IFERROR(XLOOKUP($F19, 'MAPA DE VTR BPMA'!A:A,'MAPA DE VTR BPMA'!N:N,"",0,-1),"Sem valor")</f>
        <v>NÃO SE APLICA</v>
      </c>
      <c r="M19" s="29" t="str">
        <f t="array" ref="M19">IFERROR(XLOOKUP($F19, 'MAPA DE VTR BPMA'!A:A,'MAPA DE VTR BPMA'!I:I,"",0,-1),"Sem valor")</f>
        <v/>
      </c>
      <c r="N19" s="29" t="str">
        <f t="array" ref="N19">IFERROR(XLOOKUP($F19, 'MAPA DE VTR BPMA'!A:A,'MAPA DE VTR BPMA'!J:J,"",0,-1),"Sem valor")</f>
        <v>Disponível</v>
      </c>
      <c r="O19" s="29" t="str">
        <f t="array" ref="O19">IFERROR(XLOOKUP($F19, 'MAPA DE VTR BPMA'!A:A,'MAPA DE VTR BPMA'!H:H,"",0,-1),"Sem valor")</f>
        <v>SEDE BPMA</v>
      </c>
      <c r="P19" s="40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26" t="s">
        <v>233</v>
      </c>
      <c r="B20" s="28">
        <v>4.0</v>
      </c>
      <c r="C20" s="29" t="str">
        <f t="array" ref="C20">IFERROR(XLOOKUP(F20, 'MAPA DE VTR BPMA'!A:A,'MAPA DE VTR BPMA'!D:D,"",0,-1),"Sem valor")</f>
        <v>OPERACIONAL</v>
      </c>
      <c r="D20" s="29" t="str">
        <f t="array" ref="D20">IFERROR(XLOOKUP(F20, 'MAPA DE VTR BPMA'!A:A,'MAPA DE VTR BPMA'!E:E,"",0,-1),"Sem valor")</f>
        <v>RENAULT</v>
      </c>
      <c r="E20" s="29" t="str">
        <f t="array" ref="E20">IFERROR(XLOOKUP(F20, 'MAPA DE VTR BPMA'!A:A,'MAPA DE VTR BPMA'!F:F,"",0,-1),"Sem valor")</f>
        <v>Master Vitre Pack luxo</v>
      </c>
      <c r="F20" s="30">
        <v>554285.0</v>
      </c>
      <c r="G20" s="29" t="str">
        <f t="array" ref="G20">IFERROR(XLOOKUP(F20, 'MAPA DE VTR BPMA'!A:A,'MAPA DE VTR BPMA'!L:L,"",0,-1),"Sem valor")</f>
        <v>REQ-8E50</v>
      </c>
      <c r="H20" s="28" t="s">
        <v>234</v>
      </c>
      <c r="I20" s="29" t="str">
        <f t="array" ref="I20">IFERROR(XLOOKUP(F20, 'MAPA DE VTR BPMA'!A:A,'MAPA DE VTR BPMA'!G:G,"",0,-1),"Sem valor")</f>
        <v>2020/2021</v>
      </c>
      <c r="J20" s="29">
        <f t="array" ref="J20">IFERROR(XLOOKUP(F20, 'MAPA DE VTR BPMA'!A:A,'MAPA DE VTR BPMA'!B:B,"",0,-1),"Sem valor")</f>
        <v>3600275708</v>
      </c>
      <c r="K20" s="29">
        <f t="array" ref="K20">IFERROR(XLOOKUP($F20, 'MAPA DE VTR BPMA'!A:A,'MAPA DE VTR BPMA'!O:O,"",0,-1),"Sem valor")</f>
        <v>3600213007</v>
      </c>
      <c r="L20" s="29">
        <f t="array" ref="L20">IFERROR(XLOOKUP($F20, 'MAPA DE VTR BPMA'!A:A,'MAPA DE VTR BPMA'!N:N,"",0,-1),"Sem valor")</f>
        <v>3600275743</v>
      </c>
      <c r="M20" s="29" t="str">
        <f t="array" ref="M20">IFERROR(XLOOKUP($F20, 'MAPA DE VTR BPMA'!A:A,'MAPA DE VTR BPMA'!I:I,"",0,-1),"Sem valor")</f>
        <v/>
      </c>
      <c r="N20" s="29" t="str">
        <f t="array" ref="N20">IFERROR(XLOOKUP($F20, 'MAPA DE VTR BPMA'!A:A,'MAPA DE VTR BPMA'!J:J,"",0,-1),"Sem valor")</f>
        <v>Disponível</v>
      </c>
      <c r="O20" s="29" t="str">
        <f t="array" ref="O20">IFERROR(XLOOKUP($F20, 'MAPA DE VTR BPMA'!A:A,'MAPA DE VTR BPMA'!H:H,"",0,-1),"Sem valor")</f>
        <v>PREALG</v>
      </c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37.5" customHeight="1">
      <c r="A21" s="26" t="s">
        <v>237</v>
      </c>
      <c r="B21" s="31">
        <f>B20</f>
        <v>4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26" t="s">
        <v>233</v>
      </c>
      <c r="B22" s="28">
        <v>1.0</v>
      </c>
      <c r="C22" s="29" t="str">
        <f t="array" ref="C22">IFERROR(XLOOKUP(F22, 'MAPA DE VTR BPMA'!A:A,'MAPA DE VTR BPMA'!D:D,"",0,-1),"Sem valor")</f>
        <v>VELADO</v>
      </c>
      <c r="D22" s="29" t="str">
        <f t="array" ref="D22">IFERROR(XLOOKUP(F22, 'MAPA DE VTR BPMA'!A:A,'MAPA DE VTR BPMA'!E:E,"",0,-1),"Sem valor")</f>
        <v>FORD</v>
      </c>
      <c r="E22" s="29" t="str">
        <f t="array" ref="E22">IFERROR(XLOOKUP(F22, 'MAPA DE VTR BPMA'!A:A,'MAPA DE VTR BPMA'!F:F,"",0,-1),"Sem valor")</f>
        <v>KA FREESTYLE 1.5 AT</v>
      </c>
      <c r="F22" s="43">
        <v>559384.0</v>
      </c>
      <c r="G22" s="29" t="str">
        <f t="array" ref="G22">IFERROR(XLOOKUP(F22, 'MAPA DE VTR BPMA'!A:A,'MAPA DE VTR BPMA'!L:L,"",0,-1),"Sem valor")</f>
        <v>REN3A47</v>
      </c>
      <c r="H22" s="28" t="s">
        <v>234</v>
      </c>
      <c r="I22" s="29" t="str">
        <f t="array" ref="I22">IFERROR(XLOOKUP(F22, 'MAPA DE VTR BPMA'!A:A,'MAPA DE VTR BPMA'!G:G,"",0,-1),"Sem valor")</f>
        <v>2020/2021</v>
      </c>
      <c r="J22" s="29">
        <f t="array" ref="J22">IFERROR(XLOOKUP(F22, 'MAPA DE VTR BPMA'!A:A,'MAPA DE VTR BPMA'!B:B,"",0,-1),"Sem valor")</f>
        <v>3600273208</v>
      </c>
      <c r="K22" s="29">
        <f t="array" ref="K22">IFERROR(XLOOKUP($F22, 'MAPA DE VTR BPMA'!A:A,'MAPA DE VTR BPMA'!O:O,"",0,-1),"Sem valor")</f>
        <v>3600212646</v>
      </c>
      <c r="L22" s="29" t="str">
        <f t="array" ref="L22">IFERROR(XLOOKUP($F22, 'MAPA DE VTR BPMA'!A:A,'MAPA DE VTR BPMA'!N:N,"",0,-1),"Sem valor")</f>
        <v>NÃO SE APLICA</v>
      </c>
      <c r="M22" s="29" t="str">
        <f t="array" ref="M22">IFERROR(XLOOKUP($F22, 'MAPA DE VTR BPMA'!A:A,'MAPA DE VTR BPMA'!I:I,"",0,-1),"Sem valor")</f>
        <v/>
      </c>
      <c r="N22" s="29" t="str">
        <f t="array" ref="N22">IFERROR(XLOOKUP($F22, 'MAPA DE VTR BPMA'!A:A,'MAPA DE VTR BPMA'!J:J,"",0,-1),"Sem valor")</f>
        <v>Indisponível</v>
      </c>
      <c r="O22" s="29" t="str">
        <f t="array" ref="O22">IFERROR(XLOOKUP($F22, 'MAPA DE VTR BPMA'!A:A,'MAPA DE VTR BPMA'!H:H,"",0,-1),"Sem valor")</f>
        <v>SEDE BPMA</v>
      </c>
      <c r="P22" s="29"/>
    </row>
    <row r="23" ht="37.5" customHeight="1">
      <c r="A23" s="26" t="s">
        <v>238</v>
      </c>
      <c r="B23" s="31">
        <f>B22</f>
        <v>1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3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26" t="s">
        <v>233</v>
      </c>
      <c r="B24" s="28">
        <v>1.0</v>
      </c>
      <c r="C24" s="29" t="str">
        <f t="array" ref="C24">IFERROR(XLOOKUP(F24, 'MAPA DE VTR BPMA'!A:A,'MAPA DE VTR BPMA'!D:D,"",0,-1),"Sem valor")</f>
        <v>OPERACIONAL</v>
      </c>
      <c r="D24" s="29" t="str">
        <f t="array" ref="D24">IFERROR(XLOOKUP(F24, 'MAPA DE VTR BPMA'!A:A,'MAPA DE VTR BPMA'!E:E,"",0,-1),"Sem valor")</f>
        <v>CHEVROLET</v>
      </c>
      <c r="E24" s="29" t="str">
        <f t="array" ref="E24">IFERROR(XLOOKUP(F24, 'MAPA DE VTR BPMA'!A:A,'MAPA DE VTR BPMA'!F:F,"",0,-1),"Sem valor")</f>
        <v>Trailblazer LT 4x4</v>
      </c>
      <c r="F24" s="30">
        <v>554332.0</v>
      </c>
      <c r="G24" s="29" t="str">
        <f t="array" ref="G24">IFERROR(XLOOKUP(F24, 'MAPA DE VTR BPMA'!A:A,'MAPA DE VTR BPMA'!L:L,"",0,-1),"Sem valor")</f>
        <v>SGT6F28</v>
      </c>
      <c r="H24" s="28" t="s">
        <v>234</v>
      </c>
      <c r="I24" s="29">
        <f t="array" ref="I24">IFERROR(XLOOKUP(F24, 'MAPA DE VTR BPMA'!A:A,'MAPA DE VTR BPMA'!G:G,"",0,-1),"Sem valor")</f>
        <v>2023</v>
      </c>
      <c r="J24" s="29">
        <f t="array" ref="J24">IFERROR(XLOOKUP(F24, 'MAPA DE VTR BPMA'!A:A,'MAPA DE VTR BPMA'!B:B,"",0,-1),"Sem valor")</f>
        <v>3600284538</v>
      </c>
      <c r="K24" s="29">
        <f t="array" ref="K24">IFERROR(XLOOKUP($F24, 'MAPA DE VTR BPMA'!A:A,'MAPA DE VTR BPMA'!O:O,"",0,-1),"Sem valor")</f>
        <v>3600211907</v>
      </c>
      <c r="L24" s="29">
        <f t="array" ref="L24">IFERROR(XLOOKUP($F24, 'MAPA DE VTR BPMA'!A:A,'MAPA DE VTR BPMA'!N:N,"",0,-1),"Sem valor")</f>
        <v>3600284606</v>
      </c>
      <c r="M24" s="29" t="str">
        <f t="array" ref="M24">IFERROR(XLOOKUP($F24, 'MAPA DE VTR BPMA'!A:A,'MAPA DE VTR BPMA'!I:I,"",0,-1),"Sem valor")</f>
        <v/>
      </c>
      <c r="N24" s="29" t="str">
        <f t="array" ref="N24">IFERROR(XLOOKUP($F24, 'MAPA DE VTR BPMA'!A:A,'MAPA DE VTR BPMA'!J:J,"",0,-1),"Sem valor")</f>
        <v>Indisponível</v>
      </c>
      <c r="O24" s="29" t="str">
        <f t="array" ref="O24">IFERROR(XLOOKUP($F24, 'MAPA DE VTR BPMA'!A:A,'MAPA DE VTR BPMA'!H:H,"",0,-1),"Sem valor")</f>
        <v>SEDE BPMA</v>
      </c>
      <c r="P24" s="29"/>
    </row>
    <row r="25" ht="37.5" customHeight="1">
      <c r="A25" s="26" t="s">
        <v>239</v>
      </c>
      <c r="B25" s="31">
        <f>B24</f>
        <v>1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26" t="s">
        <v>233</v>
      </c>
      <c r="B26" s="28">
        <v>1.0</v>
      </c>
      <c r="C26" s="29" t="str">
        <f t="array" ref="C26">IFERROR(XLOOKUP(F26, 'MAPA DE VTR BPMA'!A:A,'MAPA DE VTR BPMA'!D:D,"",0,-1),"Sem valor")</f>
        <v>ADMINISTRATIVO</v>
      </c>
      <c r="D26" s="29" t="str">
        <f t="array" ref="D26">IFERROR(XLOOKUP(F26, 'MAPA DE VTR BPMA'!A:A,'MAPA DE VTR BPMA'!E:E,"",0,-1),"Sem valor")</f>
        <v>HYUNDAI</v>
      </c>
      <c r="E26" s="29" t="str">
        <f t="array" ref="E26">IFERROR(XLOOKUP(F26, 'MAPA DE VTR BPMA'!A:A,'MAPA DE VTR BPMA'!F:F,"",0,-1),"Sem valor")</f>
        <v>HR 2.5 Turbo</v>
      </c>
      <c r="F26" s="30">
        <v>33548.0</v>
      </c>
      <c r="G26" s="29" t="str">
        <f t="array" ref="G26">IFERROR(XLOOKUP(F26, 'MAPA DE VTR BPMA'!A:A,'MAPA DE VTR BPMA'!L:L,"",0,-1),"Sem valor")</f>
        <v>RER-3C82</v>
      </c>
      <c r="H26" s="28" t="s">
        <v>234</v>
      </c>
      <c r="I26" s="29" t="str">
        <f t="array" ref="I26">IFERROR(XLOOKUP(F26, 'MAPA DE VTR BPMA'!A:A,'MAPA DE VTR BPMA'!G:G,"",0,-1),"Sem valor")</f>
        <v>2020/2021</v>
      </c>
      <c r="J26" s="29">
        <f t="array" ref="J26">IFERROR(XLOOKUP(F26, 'MAPA DE VTR BPMA'!A:A,'MAPA DE VTR BPMA'!B:B,"",0,-1),"Sem valor")</f>
        <v>3600275753</v>
      </c>
      <c r="K26" s="29">
        <f t="array" ref="K26">IFERROR(XLOOKUP($F26, 'MAPA DE VTR BPMA'!A:A,'MAPA DE VTR BPMA'!O:O,"",0,-1),"Sem valor")</f>
        <v>3600212595</v>
      </c>
      <c r="L26" s="29">
        <f t="array" ref="L26">IFERROR(XLOOKUP($F26, 'MAPA DE VTR BPMA'!A:A,'MAPA DE VTR BPMA'!N:N,"",0,-1),"Sem valor")</f>
        <v>3600275757</v>
      </c>
      <c r="M26" s="29" t="str">
        <f t="array" ref="M26">IFERROR(XLOOKUP($F26, 'MAPA DE VTR BPMA'!A:A,'MAPA DE VTR BPMA'!I:I,"",0,-1),"Sem valor")</f>
        <v/>
      </c>
      <c r="N26" s="29" t="str">
        <f t="array" ref="N26">IFERROR(XLOOKUP($F26, 'MAPA DE VTR BPMA'!A:A,'MAPA DE VTR BPMA'!J:J,"",0,-1),"Sem valor")</f>
        <v>Disponível</v>
      </c>
      <c r="O26" s="29" t="str">
        <f t="array" ref="O26">IFERROR(XLOOKUP($F26, 'MAPA DE VTR BPMA'!A:A,'MAPA DE VTR BPMA'!H:H,"",0,-1),"Sem valor")</f>
        <v>SEDE BPMA</v>
      </c>
      <c r="P26" s="29"/>
    </row>
    <row r="27" ht="37.5" customHeight="1">
      <c r="A27" s="26" t="s">
        <v>240</v>
      </c>
      <c r="B27" s="31">
        <f>B26</f>
        <v>1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3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26" t="s">
        <v>233</v>
      </c>
      <c r="B28" s="28">
        <v>1.0</v>
      </c>
      <c r="C28" s="29" t="str">
        <f t="array" ref="C28">IFERROR(XLOOKUP(F28, 'MAPA DE VTR BPMA'!A:A,'MAPA DE VTR BPMA'!D:D,"",0,-1),"Sem valor")</f>
        <v>OPERACIONAL</v>
      </c>
      <c r="D28" s="29" t="str">
        <f t="array" ref="D28">IFERROR(XLOOKUP(F28, 'MAPA DE VTR BPMA'!A:A,'MAPA DE VTR BPMA'!E:E,"",0,-1),"Sem valor")</f>
        <v>MITSUBISHI</v>
      </c>
      <c r="E28" s="29" t="str">
        <f t="array" ref="E28">IFERROR(XLOOKUP(F28, 'MAPA DE VTR BPMA'!A:A,'MAPA DE VTR BPMA'!F:F,"",0,-1),"Sem valor")</f>
        <v>ASX</v>
      </c>
      <c r="F28" s="30">
        <v>553959.0</v>
      </c>
      <c r="G28" s="29" t="str">
        <f t="array" ref="G28">IFERROR(XLOOKUP(F28, 'MAPA DE VTR BPMA'!A:A,'MAPA DE VTR BPMA'!L:L,"",0,-1),"Sem valor")</f>
        <v>PBN 7383</v>
      </c>
      <c r="H28" s="28" t="s">
        <v>234</v>
      </c>
      <c r="I28" s="29" t="str">
        <f t="array" ref="I28">IFERROR(XLOOKUP(F28, 'MAPA DE VTR BPMA'!A:A,'MAPA DE VTR BPMA'!G:G,"",0,-1),"Sem valor")</f>
        <v>2018/2019</v>
      </c>
      <c r="J28" s="29">
        <f t="array" ref="J28">IFERROR(XLOOKUP(F28, 'MAPA DE VTR BPMA'!A:A,'MAPA DE VTR BPMA'!B:B,"",0,-1),"Sem valor")</f>
        <v>3600247624</v>
      </c>
      <c r="K28" s="29">
        <f t="array" ref="K28">IFERROR(XLOOKUP($F28, 'MAPA DE VTR BPMA'!A:A,'MAPA DE VTR BPMA'!O:O,"",0,-1),"Sem valor")</f>
        <v>3600212886</v>
      </c>
      <c r="L28" s="29">
        <f t="array" ref="L28">IFERROR(XLOOKUP($F28, 'MAPA DE VTR BPMA'!A:A,'MAPA DE VTR BPMA'!N:N,"",0,-1),"Sem valor")</f>
        <v>3600247672</v>
      </c>
      <c r="M28" s="29" t="str">
        <f t="array" ref="M28">IFERROR(XLOOKUP($F28, 'MAPA DE VTR BPMA'!A:A,'MAPA DE VTR BPMA'!I:I,"",0,-1),"Sem valor")</f>
        <v/>
      </c>
      <c r="N28" s="29" t="str">
        <f t="array" ref="N28">IFERROR(XLOOKUP($F28, 'MAPA DE VTR BPMA'!A:A,'MAPA DE VTR BPMA'!J:J,"",0,-1),"Sem valor")</f>
        <v>Disponível</v>
      </c>
      <c r="O28" s="29" t="str">
        <f t="array" ref="O28">IFERROR(XLOOKUP($F28, 'MAPA DE VTR BPMA'!A:A,'MAPA DE VTR BPMA'!H:H,"",0,-1),"Sem valor")</f>
        <v>SEDE BPMA</v>
      </c>
      <c r="P28" s="29"/>
    </row>
    <row r="29" ht="37.5" customHeight="1">
      <c r="A29" s="26" t="s">
        <v>241</v>
      </c>
      <c r="B29" s="31">
        <f>B28</f>
        <v>1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3"/>
    </row>
    <row r="30">
      <c r="A30" s="26" t="s">
        <v>233</v>
      </c>
      <c r="B30" s="28">
        <v>1.0</v>
      </c>
      <c r="C30" s="29" t="str">
        <f t="array" ref="C30">IFERROR(XLOOKUP(F30, 'MAPA DE VTR BPMA'!A:A,'MAPA DE VTR BPMA'!D:D,"",0,-1),"Sem valor")</f>
        <v>OPERACIONAL</v>
      </c>
      <c r="D30" s="29" t="str">
        <f t="array" ref="D30">IFERROR(XLOOKUP(F30, 'MAPA DE VTR BPMA'!A:A,'MAPA DE VTR BPMA'!E:E,"",0,-1),"Sem valor")</f>
        <v>MITSUBISHI</v>
      </c>
      <c r="E30" s="29" t="str">
        <f t="array" ref="E30">IFERROR(XLOOKUP(F30, 'MAPA DE VTR BPMA'!A:A,'MAPA DE VTR BPMA'!F:F,"",0,-1),"Sem valor")</f>
        <v>L200 TRITON</v>
      </c>
      <c r="F30" s="38">
        <v>554544.0</v>
      </c>
      <c r="G30" s="29" t="str">
        <f t="array" ref="G30">IFERROR(XLOOKUP(F30, 'MAPA DE VTR BPMA'!A:A,'MAPA DE VTR BPMA'!L:L,"",0,-1),"Sem valor")</f>
        <v>SSF8H49</v>
      </c>
      <c r="H30" s="28" t="s">
        <v>234</v>
      </c>
      <c r="I30" s="29">
        <f t="array" ref="I30">IFERROR(XLOOKUP(F30, 'MAPA DE VTR BPMA'!A:A,'MAPA DE VTR BPMA'!G:G,"",0,-1),"Sem valor")</f>
        <v>2023</v>
      </c>
      <c r="J30" s="29">
        <f t="array" ref="J30">IFERROR(XLOOKUP(F30, 'MAPA DE VTR BPMA'!A:A,'MAPA DE VTR BPMA'!B:B,"",0,-1),"Sem valor")</f>
        <v>200199058</v>
      </c>
      <c r="K30" s="29" t="str">
        <f t="array" ref="K30">IFERROR(XLOOKUP($F30, 'MAPA DE VTR BPMA'!A:A,'MAPA DE VTR BPMA'!O:O,"",0,-1),"Sem valor")</f>
        <v>INDEFINIDO</v>
      </c>
      <c r="L30" s="29" t="str">
        <f t="array" ref="L30">IFERROR(XLOOKUP($F30, 'MAPA DE VTR BPMA'!A:A,'MAPA DE VTR BPMA'!N:N,"",0,-1),"Sem valor")</f>
        <v>NÃO TEM TOMBAMENTO</v>
      </c>
      <c r="M30" s="29" t="str">
        <f t="array" ref="M30">IFERROR(XLOOKUP($F30, 'MAPA DE VTR BPMA'!A:A,'MAPA DE VTR BPMA'!I:I,"",0,-1),"Sem valor")</f>
        <v/>
      </c>
      <c r="N30" s="29" t="str">
        <f t="array" ref="N30">IFERROR(XLOOKUP($F30, 'MAPA DE VTR BPMA'!A:A,'MAPA DE VTR BPMA'!J:J,"",0,-1),"Sem valor")</f>
        <v>Disponível</v>
      </c>
      <c r="O30" s="29" t="str">
        <f t="array" ref="O30">IFERROR(XLOOKUP($F30, 'MAPA DE VTR BPMA'!A:A,'MAPA DE VTR BPMA'!H:H,"",0,-1),"Sem valor")</f>
        <v>SEDE BPMA</v>
      </c>
      <c r="P30" s="29"/>
    </row>
    <row r="31">
      <c r="A31" s="26" t="s">
        <v>233</v>
      </c>
      <c r="B31" s="28">
        <v>2.0</v>
      </c>
      <c r="C31" s="29" t="str">
        <f t="array" ref="C31">IFERROR(XLOOKUP(F31, 'MAPA DE VTR BPMA'!A:A,'MAPA DE VTR BPMA'!D:D,"",0,-1),"Sem valor")</f>
        <v>OPERACIONAL</v>
      </c>
      <c r="D31" s="29" t="str">
        <f t="array" ref="D31">IFERROR(XLOOKUP(F31, 'MAPA DE VTR BPMA'!A:A,'MAPA DE VTR BPMA'!E:E,"",0,-1),"Sem valor")</f>
        <v>MITSUBISHI</v>
      </c>
      <c r="E31" s="29" t="str">
        <f t="array" ref="E31">IFERROR(XLOOKUP(F31, 'MAPA DE VTR BPMA'!A:A,'MAPA DE VTR BPMA'!F:F,"",0,-1),"Sem valor")</f>
        <v>L200 TRITON</v>
      </c>
      <c r="F31" s="38">
        <v>554545.0</v>
      </c>
      <c r="G31" s="29" t="str">
        <f t="array" ref="G31">IFERROR(XLOOKUP(F31, 'MAPA DE VTR BPMA'!A:A,'MAPA DE VTR BPMA'!L:L,"",0,-1),"Sem valor")</f>
        <v>SSF8H42</v>
      </c>
      <c r="H31" s="28" t="s">
        <v>234</v>
      </c>
      <c r="I31" s="29">
        <f t="array" ref="I31">IFERROR(XLOOKUP(F31, 'MAPA DE VTR BPMA'!A:A,'MAPA DE VTR BPMA'!G:G,"",0,-1),"Sem valor")</f>
        <v>2023</v>
      </c>
      <c r="J31" s="29">
        <f t="array" ref="J31">IFERROR(XLOOKUP(F31, 'MAPA DE VTR BPMA'!A:A,'MAPA DE VTR BPMA'!B:B,"",0,-1),"Sem valor")</f>
        <v>200199059</v>
      </c>
      <c r="K31" s="29" t="str">
        <f t="array" ref="K31">IFERROR(XLOOKUP($F31, 'MAPA DE VTR BPMA'!A:A,'MAPA DE VTR BPMA'!O:O,"",0,-1),"Sem valor")</f>
        <v>INDEFINIDO</v>
      </c>
      <c r="L31" s="29" t="str">
        <f t="array" ref="L31">IFERROR(XLOOKUP($F31, 'MAPA DE VTR BPMA'!A:A,'MAPA DE VTR BPMA'!N:N,"",0,-1),"Sem valor")</f>
        <v>NÃO TEM TOMBAMENTO</v>
      </c>
      <c r="M31" s="29" t="str">
        <f t="array" ref="M31">IFERROR(XLOOKUP($F31, 'MAPA DE VTR BPMA'!A:A,'MAPA DE VTR BPMA'!I:I,"",0,-1),"Sem valor")</f>
        <v/>
      </c>
      <c r="N31" s="29" t="str">
        <f t="array" ref="N31">IFERROR(XLOOKUP($F31, 'MAPA DE VTR BPMA'!A:A,'MAPA DE VTR BPMA'!J:J,"",0,-1),"Sem valor")</f>
        <v>Disponível</v>
      </c>
      <c r="O31" s="29" t="str">
        <f t="array" ref="O31">IFERROR(XLOOKUP($F31, 'MAPA DE VTR BPMA'!A:A,'MAPA DE VTR BPMA'!H:H,"",0,-1),"Sem valor")</f>
        <v>SEDE BPMA</v>
      </c>
      <c r="P31" s="29"/>
    </row>
    <row r="32">
      <c r="A32" s="26" t="s">
        <v>233</v>
      </c>
      <c r="B32" s="28">
        <v>3.0</v>
      </c>
      <c r="C32" s="29" t="str">
        <f t="array" ref="C32">IFERROR(XLOOKUP(F32, 'MAPA DE VTR BPMA'!A:A,'MAPA DE VTR BPMA'!D:D,"",0,-1),"Sem valor")</f>
        <v>OPERACIONAL</v>
      </c>
      <c r="D32" s="29" t="str">
        <f t="array" ref="D32">IFERROR(XLOOKUP(F32, 'MAPA DE VTR BPMA'!A:A,'MAPA DE VTR BPMA'!E:E,"",0,-1),"Sem valor")</f>
        <v>MITSUBISHI</v>
      </c>
      <c r="E32" s="29" t="str">
        <f t="array" ref="E32">IFERROR(XLOOKUP(F32, 'MAPA DE VTR BPMA'!A:A,'MAPA DE VTR BPMA'!F:F,"",0,-1),"Sem valor")</f>
        <v>L200 TRITON GLS AT</v>
      </c>
      <c r="F32" s="30">
        <v>554434.0</v>
      </c>
      <c r="G32" s="29" t="str">
        <f t="array" ref="G32">IFERROR(XLOOKUP(F32, 'MAPA DE VTR BPMA'!A:A,'MAPA DE VTR BPMA'!L:L,"",0,-1),"Sem valor")</f>
        <v>SGV6D61</v>
      </c>
      <c r="H32" s="28" t="s">
        <v>234</v>
      </c>
      <c r="I32" s="29">
        <f t="array" ref="I32">IFERROR(XLOOKUP(F32, 'MAPA DE VTR BPMA'!A:A,'MAPA DE VTR BPMA'!G:G,"",0,-1),"Sem valor")</f>
        <v>2023</v>
      </c>
      <c r="J32" s="29">
        <f t="array" ref="J32">IFERROR(XLOOKUP(F32, 'MAPA DE VTR BPMA'!A:A,'MAPA DE VTR BPMA'!B:B,"",0,-1),"Sem valor")</f>
        <v>3600291084</v>
      </c>
      <c r="K32" s="29">
        <f t="array" ref="K32">IFERROR(XLOOKUP($F32, 'MAPA DE VTR BPMA'!A:A,'MAPA DE VTR BPMA'!O:O,"",0,-1),"Sem valor")</f>
        <v>3600213152</v>
      </c>
      <c r="L32" s="29">
        <f t="array" ref="L32">IFERROR(XLOOKUP($F32, 'MAPA DE VTR BPMA'!A:A,'MAPA DE VTR BPMA'!N:N,"",0,-1),"Sem valor")</f>
        <v>3600291142</v>
      </c>
      <c r="M32" s="29" t="str">
        <f t="array" ref="M32">IFERROR(XLOOKUP($F32, 'MAPA DE VTR BPMA'!A:A,'MAPA DE VTR BPMA'!I:I,"",0,-1),"Sem valor")</f>
        <v/>
      </c>
      <c r="N32" s="29" t="str">
        <f t="array" ref="N32">IFERROR(XLOOKUP($F32, 'MAPA DE VTR BPMA'!A:A,'MAPA DE VTR BPMA'!J:J,"",0,-1),"Sem valor")</f>
        <v>Disponível</v>
      </c>
      <c r="O32" s="29" t="str">
        <f t="array" ref="O32">IFERROR(XLOOKUP($F32, 'MAPA DE VTR BPMA'!A:A,'MAPA DE VTR BPMA'!H:H,"",0,-1),"Sem valor")</f>
        <v>SEDE BPMA</v>
      </c>
      <c r="P32" s="29"/>
    </row>
    <row r="33">
      <c r="A33" s="26" t="s">
        <v>233</v>
      </c>
      <c r="B33" s="28">
        <v>4.0</v>
      </c>
      <c r="C33" s="29" t="str">
        <f t="array" ref="C33">IFERROR(XLOOKUP(F33, 'MAPA DE VTR BPMA'!A:A,'MAPA DE VTR BPMA'!D:D,"",0,-1),"Sem valor")</f>
        <v>OPERACIONAL</v>
      </c>
      <c r="D33" s="29" t="str">
        <f t="array" ref="D33">IFERROR(XLOOKUP(F33, 'MAPA DE VTR BPMA'!A:A,'MAPA DE VTR BPMA'!E:E,"",0,-1),"Sem valor")</f>
        <v>MITSUBISHI</v>
      </c>
      <c r="E33" s="29" t="str">
        <f t="array" ref="E33">IFERROR(XLOOKUP(F33, 'MAPA DE VTR BPMA'!A:A,'MAPA DE VTR BPMA'!F:F,"",0,-1),"Sem valor")</f>
        <v>L200 TRITON GLS AT</v>
      </c>
      <c r="F33" s="30">
        <v>554435.0</v>
      </c>
      <c r="G33" s="29" t="str">
        <f t="array" ref="G33">IFERROR(XLOOKUP(F33, 'MAPA DE VTR BPMA'!A:A,'MAPA DE VTR BPMA'!L:L,"",0,-1),"Sem valor")</f>
        <v>SGV6D84</v>
      </c>
      <c r="H33" s="28" t="s">
        <v>234</v>
      </c>
      <c r="I33" s="29">
        <f t="array" ref="I33">IFERROR(XLOOKUP(F33, 'MAPA DE VTR BPMA'!A:A,'MAPA DE VTR BPMA'!G:G,"",0,-1),"Sem valor")</f>
        <v>2023</v>
      </c>
      <c r="J33" s="29">
        <f t="array" ref="J33">IFERROR(XLOOKUP(F33, 'MAPA DE VTR BPMA'!A:A,'MAPA DE VTR BPMA'!B:B,"",0,-1),"Sem valor")</f>
        <v>3600291077</v>
      </c>
      <c r="K33" s="29">
        <f t="array" ref="K33">IFERROR(XLOOKUP($F33, 'MAPA DE VTR BPMA'!A:A,'MAPA DE VTR BPMA'!O:O,"",0,-1),"Sem valor")</f>
        <v>3600212032</v>
      </c>
      <c r="L33" s="29">
        <f t="array" ref="L33">IFERROR(XLOOKUP($F33, 'MAPA DE VTR BPMA'!A:A,'MAPA DE VTR BPMA'!N:N,"",0,-1),"Sem valor")</f>
        <v>3600291141</v>
      </c>
      <c r="M33" s="29" t="str">
        <f t="array" ref="M33">IFERROR(XLOOKUP($F33, 'MAPA DE VTR BPMA'!A:A,'MAPA DE VTR BPMA'!I:I,"",0,-1),"Sem valor")</f>
        <v/>
      </c>
      <c r="N33" s="29" t="str">
        <f t="array" ref="N33">IFERROR(XLOOKUP($F33, 'MAPA DE VTR BPMA'!A:A,'MAPA DE VTR BPMA'!J:J,"",0,-1),"Sem valor")</f>
        <v>Indisponível</v>
      </c>
      <c r="O33" s="29" t="str">
        <f t="array" ref="O33">IFERROR(XLOOKUP($F33, 'MAPA DE VTR BPMA'!A:A,'MAPA DE VTR BPMA'!H:H,"",0,-1),"Sem valor")</f>
        <v>SEDE BPMA</v>
      </c>
      <c r="P33" s="29"/>
    </row>
    <row r="34">
      <c r="A34" s="26" t="s">
        <v>233</v>
      </c>
      <c r="B34" s="28">
        <v>5.0</v>
      </c>
      <c r="C34" s="29" t="str">
        <f t="array" ref="C34">IFERROR(XLOOKUP(F34, 'MAPA DE VTR BPMA'!A:A,'MAPA DE VTR BPMA'!D:D,"",0,-1),"Sem valor")</f>
        <v>OPERACIONAL</v>
      </c>
      <c r="D34" s="29" t="str">
        <f t="array" ref="D34">IFERROR(XLOOKUP(F34, 'MAPA DE VTR BPMA'!A:A,'MAPA DE VTR BPMA'!E:E,"",0,-1),"Sem valor")</f>
        <v>MITSUBISHI</v>
      </c>
      <c r="E34" s="29" t="str">
        <f t="array" ref="E34">IFERROR(XLOOKUP(F34, 'MAPA DE VTR BPMA'!A:A,'MAPA DE VTR BPMA'!F:F,"",0,-1),"Sem valor")</f>
        <v>L200 TRITON GLS AT</v>
      </c>
      <c r="F34" s="38">
        <v>554437.0</v>
      </c>
      <c r="G34" s="29" t="str">
        <f t="array" ref="G34">IFERROR(XLOOKUP(F34, 'MAPA DE VTR BPMA'!A:A,'MAPA DE VTR BPMA'!L:L,"",0,-1),"Sem valor")</f>
        <v>SGV6D85</v>
      </c>
      <c r="H34" s="28" t="s">
        <v>234</v>
      </c>
      <c r="I34" s="29">
        <f t="array" ref="I34">IFERROR(XLOOKUP(F34, 'MAPA DE VTR BPMA'!A:A,'MAPA DE VTR BPMA'!G:G,"",0,-1),"Sem valor")</f>
        <v>2023</v>
      </c>
      <c r="J34" s="29">
        <f t="array" ref="J34">IFERROR(XLOOKUP(F34, 'MAPA DE VTR BPMA'!A:A,'MAPA DE VTR BPMA'!B:B,"",0,-1),"Sem valor")</f>
        <v>3600291073</v>
      </c>
      <c r="K34" s="29">
        <f t="array" ref="K34">IFERROR(XLOOKUP($F34, 'MAPA DE VTR BPMA'!A:A,'MAPA DE VTR BPMA'!O:O,"",0,-1),"Sem valor")</f>
        <v>3600213164</v>
      </c>
      <c r="L34" s="29">
        <f t="array" ref="L34">IFERROR(XLOOKUP($F34, 'MAPA DE VTR BPMA'!A:A,'MAPA DE VTR BPMA'!N:N,"",0,-1),"Sem valor")</f>
        <v>3600291135</v>
      </c>
      <c r="M34" s="29" t="str">
        <f t="array" ref="M34">IFERROR(XLOOKUP($F34, 'MAPA DE VTR BPMA'!A:A,'MAPA DE VTR BPMA'!I:I,"",0,-1),"Sem valor")</f>
        <v/>
      </c>
      <c r="N34" s="29" t="str">
        <f t="array" ref="N34">IFERROR(XLOOKUP($F34, 'MAPA DE VTR BPMA'!A:A,'MAPA DE VTR BPMA'!J:J,"",0,-1),"Sem valor")</f>
        <v>Disponível</v>
      </c>
      <c r="O34" s="29" t="str">
        <f t="array" ref="O34">IFERROR(XLOOKUP($F34, 'MAPA DE VTR BPMA'!A:A,'MAPA DE VTR BPMA'!H:H,"",0,-1),"Sem valor")</f>
        <v>INDEFINIDO</v>
      </c>
      <c r="P34" s="29"/>
    </row>
    <row r="35">
      <c r="A35" s="26" t="s">
        <v>233</v>
      </c>
      <c r="B35" s="28">
        <v>6.0</v>
      </c>
      <c r="C35" s="29" t="str">
        <f t="array" ref="C35">IFERROR(XLOOKUP(F35, 'MAPA DE VTR BPMA'!A:A,'MAPA DE VTR BPMA'!D:D,"",0,-1),"Sem valor")</f>
        <v>OPERACIONAL</v>
      </c>
      <c r="D35" s="29" t="str">
        <f t="array" ref="D35">IFERROR(XLOOKUP(F35, 'MAPA DE VTR BPMA'!A:A,'MAPA DE VTR BPMA'!E:E,"",0,-1),"Sem valor")</f>
        <v>MITSUBISHI</v>
      </c>
      <c r="E35" s="29" t="str">
        <f t="array" ref="E35">IFERROR(XLOOKUP(F35, 'MAPA DE VTR BPMA'!A:A,'MAPA DE VTR BPMA'!F:F,"",0,-1),"Sem valor")</f>
        <v>L200 TRITON GLS AT</v>
      </c>
      <c r="F35" s="30">
        <v>554439.0</v>
      </c>
      <c r="G35" s="29" t="str">
        <f t="array" ref="G35">IFERROR(XLOOKUP(F35, 'MAPA DE VTR BPMA'!A:A,'MAPA DE VTR BPMA'!L:L,"",0,-1),"Sem valor")</f>
        <v>SGU9C96</v>
      </c>
      <c r="H35" s="28" t="s">
        <v>234</v>
      </c>
      <c r="I35" s="29">
        <f t="array" ref="I35">IFERROR(XLOOKUP(F35, 'MAPA DE VTR BPMA'!A:A,'MAPA DE VTR BPMA'!G:G,"",0,-1),"Sem valor")</f>
        <v>2023</v>
      </c>
      <c r="J35" s="29">
        <f t="array" ref="J35">IFERROR(XLOOKUP(F35, 'MAPA DE VTR BPMA'!A:A,'MAPA DE VTR BPMA'!B:B,"",0,-1),"Sem valor")</f>
        <v>3600291050</v>
      </c>
      <c r="K35" s="29">
        <f t="array" ref="K35">IFERROR(XLOOKUP($F35, 'MAPA DE VTR BPMA'!A:A,'MAPA DE VTR BPMA'!O:O,"",0,-1),"Sem valor")</f>
        <v>3600212006</v>
      </c>
      <c r="L35" s="29">
        <f t="array" ref="L35">IFERROR(XLOOKUP($F35, 'MAPA DE VTR BPMA'!A:A,'MAPA DE VTR BPMA'!N:N,"",0,-1),"Sem valor")</f>
        <v>3600291139</v>
      </c>
      <c r="M35" s="29" t="str">
        <f t="array" ref="M35">IFERROR(XLOOKUP($F35, 'MAPA DE VTR BPMA'!A:A,'MAPA DE VTR BPMA'!I:I,"",0,-1),"Sem valor")</f>
        <v/>
      </c>
      <c r="N35" s="29" t="str">
        <f t="array" ref="N35">IFERROR(XLOOKUP($F35, 'MAPA DE VTR BPMA'!A:A,'MAPA DE VTR BPMA'!J:J,"",0,-1),"Sem valor")</f>
        <v>Disponível</v>
      </c>
      <c r="O35" s="29" t="str">
        <f t="array" ref="O35">IFERROR(XLOOKUP($F35, 'MAPA DE VTR BPMA'!A:A,'MAPA DE VTR BPMA'!H:H,"",0,-1),"Sem valor")</f>
        <v>SEDE BPMA</v>
      </c>
      <c r="P35" s="29"/>
    </row>
    <row r="36">
      <c r="A36" s="26" t="s">
        <v>233</v>
      </c>
      <c r="B36" s="28">
        <v>7.0</v>
      </c>
      <c r="C36" s="29" t="str">
        <f t="array" ref="C36">IFERROR(XLOOKUP(F36, 'MAPA DE VTR BPMA'!A:A,'MAPA DE VTR BPMA'!D:D,"",0,-1),"Sem valor")</f>
        <v>OPERACIONAL</v>
      </c>
      <c r="D36" s="29" t="str">
        <f t="array" ref="D36">IFERROR(XLOOKUP(F36, 'MAPA DE VTR BPMA'!A:A,'MAPA DE VTR BPMA'!E:E,"",0,-1),"Sem valor")</f>
        <v>MITSUBISHI</v>
      </c>
      <c r="E36" s="29" t="str">
        <f t="array" ref="E36">IFERROR(XLOOKUP(F36, 'MAPA DE VTR BPMA'!A:A,'MAPA DE VTR BPMA'!F:F,"",0,-1),"Sem valor")</f>
        <v>L200 TRITON GLS AT</v>
      </c>
      <c r="F36" s="38">
        <v>554440.0</v>
      </c>
      <c r="G36" s="29" t="str">
        <f t="array" ref="G36">IFERROR(XLOOKUP(F36, 'MAPA DE VTR BPMA'!A:A,'MAPA DE VTR BPMA'!L:L,"",0,-1),"Sem valor")</f>
        <v>SGU9D36</v>
      </c>
      <c r="H36" s="28" t="s">
        <v>234</v>
      </c>
      <c r="I36" s="29">
        <f t="array" ref="I36">IFERROR(XLOOKUP(F36, 'MAPA DE VTR BPMA'!A:A,'MAPA DE VTR BPMA'!G:G,"",0,-1),"Sem valor")</f>
        <v>2023</v>
      </c>
      <c r="J36" s="29">
        <f t="array" ref="J36">IFERROR(XLOOKUP(F36, 'MAPA DE VTR BPMA'!A:A,'MAPA DE VTR BPMA'!B:B,"",0,-1),"Sem valor")</f>
        <v>3600291036</v>
      </c>
      <c r="K36" s="29">
        <f t="array" ref="K36">IFERROR(XLOOKUP($F36, 'MAPA DE VTR BPMA'!A:A,'MAPA DE VTR BPMA'!O:O,"",0,-1),"Sem valor")</f>
        <v>3600213126</v>
      </c>
      <c r="L36" s="29">
        <f t="array" ref="L36">IFERROR(XLOOKUP($F36, 'MAPA DE VTR BPMA'!A:A,'MAPA DE VTR BPMA'!N:N,"",0,-1),"Sem valor")</f>
        <v>3600291140</v>
      </c>
      <c r="M36" s="29" t="str">
        <f t="array" ref="M36">IFERROR(XLOOKUP($F36, 'MAPA DE VTR BPMA'!A:A,'MAPA DE VTR BPMA'!I:I,"",0,-1),"Sem valor")</f>
        <v/>
      </c>
      <c r="N36" s="29" t="str">
        <f t="array" ref="N36">IFERROR(XLOOKUP($F36, 'MAPA DE VTR BPMA'!A:A,'MAPA DE VTR BPMA'!J:J,"",0,-1),"Sem valor")</f>
        <v>Disponível</v>
      </c>
      <c r="O36" s="29" t="str">
        <f t="array" ref="O36">IFERROR(XLOOKUP($F36, 'MAPA DE VTR BPMA'!A:A,'MAPA DE VTR BPMA'!H:H,"",0,-1),"Sem valor")</f>
        <v>SEDE BPMA</v>
      </c>
      <c r="P36" s="29"/>
    </row>
    <row r="37">
      <c r="A37" s="26" t="s">
        <v>233</v>
      </c>
      <c r="B37" s="28">
        <v>8.0</v>
      </c>
      <c r="C37" s="29" t="str">
        <f t="array" ref="C37">IFERROR(XLOOKUP(F37, 'MAPA DE VTR BPMA'!A:A,'MAPA DE VTR BPMA'!D:D,"",0,-1),"Sem valor")</f>
        <v>OPERACIONAL</v>
      </c>
      <c r="D37" s="29" t="str">
        <f t="array" ref="D37">IFERROR(XLOOKUP(F37, 'MAPA DE VTR BPMA'!A:A,'MAPA DE VTR BPMA'!E:E,"",0,-1),"Sem valor")</f>
        <v>MITSUBISHI</v>
      </c>
      <c r="E37" s="29" t="str">
        <f t="array" ref="E37">IFERROR(XLOOKUP(F37, 'MAPA DE VTR BPMA'!A:A,'MAPA DE VTR BPMA'!F:F,"",0,-1),"Sem valor")</f>
        <v>L200 TRITON GLS AT</v>
      </c>
      <c r="F37" s="30">
        <v>554441.0</v>
      </c>
      <c r="G37" s="29" t="str">
        <f t="array" ref="G37">IFERROR(XLOOKUP(F37, 'MAPA DE VTR BPMA'!A:A,'MAPA DE VTR BPMA'!L:L,"",0,-1),"Sem valor")</f>
        <v>SGU9C87</v>
      </c>
      <c r="H37" s="28" t="s">
        <v>234</v>
      </c>
      <c r="I37" s="29">
        <f t="array" ref="I37">IFERROR(XLOOKUP(F37, 'MAPA DE VTR BPMA'!A:A,'MAPA DE VTR BPMA'!G:G,"",0,-1),"Sem valor")</f>
        <v>2023</v>
      </c>
      <c r="J37" s="29">
        <f t="array" ref="J37">IFERROR(XLOOKUP(F37, 'MAPA DE VTR BPMA'!A:A,'MAPA DE VTR BPMA'!B:B,"",0,-1),"Sem valor")</f>
        <v>3600291047</v>
      </c>
      <c r="K37" s="29">
        <f t="array" ref="K37">IFERROR(XLOOKUP($F37, 'MAPA DE VTR BPMA'!A:A,'MAPA DE VTR BPMA'!O:O,"",0,-1),"Sem valor")</f>
        <v>3600213160</v>
      </c>
      <c r="L37" s="29">
        <f t="array" ref="L37">IFERROR(XLOOKUP($F37, 'MAPA DE VTR BPMA'!A:A,'MAPA DE VTR BPMA'!N:N,"",0,-1),"Sem valor")</f>
        <v>3600291138</v>
      </c>
      <c r="M37" s="29" t="str">
        <f t="array" ref="M37">IFERROR(XLOOKUP($F37, 'MAPA DE VTR BPMA'!A:A,'MAPA DE VTR BPMA'!I:I,"",0,-1),"Sem valor")</f>
        <v/>
      </c>
      <c r="N37" s="29" t="str">
        <f t="array" ref="N37">IFERROR(XLOOKUP($F37, 'MAPA DE VTR BPMA'!A:A,'MAPA DE VTR BPMA'!J:J,"",0,-1),"Sem valor")</f>
        <v>Indisponível</v>
      </c>
      <c r="O37" s="29" t="str">
        <f t="array" ref="O37">IFERROR(XLOOKUP($F37, 'MAPA DE VTR BPMA'!A:A,'MAPA DE VTR BPMA'!H:H,"",0,-1),"Sem valor")</f>
        <v>SEDE BPMA</v>
      </c>
      <c r="P37" s="29"/>
    </row>
    <row r="38">
      <c r="A38" s="26" t="s">
        <v>233</v>
      </c>
      <c r="B38" s="28">
        <v>9.0</v>
      </c>
      <c r="C38" s="29" t="str">
        <f t="array" ref="C38">IFERROR(XLOOKUP(F38, 'MAPA DE VTR BPMA'!A:A,'MAPA DE VTR BPMA'!D:D,"",0,-1),"Sem valor")</f>
        <v>OPERACIONAL</v>
      </c>
      <c r="D38" s="29" t="str">
        <f t="array" ref="D38">IFERROR(XLOOKUP(F38, 'MAPA DE VTR BPMA'!A:A,'MAPA DE VTR BPMA'!E:E,"",0,-1),"Sem valor")</f>
        <v>MITSUBISHI</v>
      </c>
      <c r="E38" s="29" t="str">
        <f t="array" ref="E38">IFERROR(XLOOKUP(F38, 'MAPA DE VTR BPMA'!A:A,'MAPA DE VTR BPMA'!F:F,"",0,-1),"Sem valor")</f>
        <v>L200 TRITON GLS AT</v>
      </c>
      <c r="F38" s="30">
        <v>554442.0</v>
      </c>
      <c r="G38" s="29" t="str">
        <f t="array" ref="G38">IFERROR(XLOOKUP(F38, 'MAPA DE VTR BPMA'!A:A,'MAPA DE VTR BPMA'!L:L,"",0,-1),"Sem valor")</f>
        <v>SGU9C77</v>
      </c>
      <c r="H38" s="28" t="s">
        <v>234</v>
      </c>
      <c r="I38" s="29">
        <f t="array" ref="I38">IFERROR(XLOOKUP(F38, 'MAPA DE VTR BPMA'!A:A,'MAPA DE VTR BPMA'!G:G,"",0,-1),"Sem valor")</f>
        <v>2023</v>
      </c>
      <c r="J38" s="29">
        <f t="array" ref="J38">IFERROR(XLOOKUP(F38, 'MAPA DE VTR BPMA'!A:A,'MAPA DE VTR BPMA'!B:B,"",0,-1),"Sem valor")</f>
        <v>3600291041</v>
      </c>
      <c r="K38" s="29">
        <f t="array" ref="K38">IFERROR(XLOOKUP($F38, 'MAPA DE VTR BPMA'!A:A,'MAPA DE VTR BPMA'!O:O,"",0,-1),"Sem valor")</f>
        <v>3600213159</v>
      </c>
      <c r="L38" s="29">
        <f t="array" ref="L38">IFERROR(XLOOKUP($F38, 'MAPA DE VTR BPMA'!A:A,'MAPA DE VTR BPMA'!N:N,"",0,-1),"Sem valor")</f>
        <v>3600291136</v>
      </c>
      <c r="M38" s="29" t="str">
        <f t="array" ref="M38">IFERROR(XLOOKUP($F38, 'MAPA DE VTR BPMA'!A:A,'MAPA DE VTR BPMA'!I:I,"",0,-1),"Sem valor")</f>
        <v/>
      </c>
      <c r="N38" s="29" t="str">
        <f t="array" ref="N38">IFERROR(XLOOKUP($F38, 'MAPA DE VTR BPMA'!A:A,'MAPA DE VTR BPMA'!J:J,"",0,-1),"Sem valor")</f>
        <v>Disponível</v>
      </c>
      <c r="O38" s="29" t="str">
        <f t="array" ref="O38">IFERROR(XLOOKUP($F38, 'MAPA DE VTR BPMA'!A:A,'MAPA DE VTR BPMA'!H:H,"",0,-1),"Sem valor")</f>
        <v>LACUSTRE</v>
      </c>
      <c r="P38" s="29"/>
    </row>
    <row r="39">
      <c r="A39" s="26" t="s">
        <v>233</v>
      </c>
      <c r="B39" s="28">
        <v>10.0</v>
      </c>
      <c r="C39" s="29" t="str">
        <f t="array" ref="C39">IFERROR(XLOOKUP(F39, 'MAPA DE VTR BPMA'!A:A,'MAPA DE VTR BPMA'!D:D,"",0,-1),"Sem valor")</f>
        <v>OPERACIONAL</v>
      </c>
      <c r="D39" s="29" t="str">
        <f t="array" ref="D39">IFERROR(XLOOKUP(F39, 'MAPA DE VTR BPMA'!A:A,'MAPA DE VTR BPMA'!E:E,"",0,-1),"Sem valor")</f>
        <v>MITSUBISHI</v>
      </c>
      <c r="E39" s="29" t="str">
        <f t="array" ref="E39">IFERROR(XLOOKUP(F39, 'MAPA DE VTR BPMA'!A:A,'MAPA DE VTR BPMA'!F:F,"",0,-1),"Sem valor")</f>
        <v>L200 TRITON GLS AT</v>
      </c>
      <c r="F39" s="30">
        <v>554443.0</v>
      </c>
      <c r="G39" s="29" t="str">
        <f t="array" ref="G39">IFERROR(XLOOKUP(F39, 'MAPA DE VTR BPMA'!A:A,'MAPA DE VTR BPMA'!L:L,"",0,-1),"Sem valor")</f>
        <v>SGU9C82</v>
      </c>
      <c r="H39" s="28" t="s">
        <v>234</v>
      </c>
      <c r="I39" s="29">
        <f t="array" ref="I39">IFERROR(XLOOKUP(F39, 'MAPA DE VTR BPMA'!A:A,'MAPA DE VTR BPMA'!G:G,"",0,-1),"Sem valor")</f>
        <v>2023</v>
      </c>
      <c r="J39" s="29">
        <f t="array" ref="J39">IFERROR(XLOOKUP(F39, 'MAPA DE VTR BPMA'!A:A,'MAPA DE VTR BPMA'!B:B,"",0,-1),"Sem valor")</f>
        <v>3600291045</v>
      </c>
      <c r="K39" s="29">
        <f t="array" ref="K39">IFERROR(XLOOKUP($F39, 'MAPA DE VTR BPMA'!A:A,'MAPA DE VTR BPMA'!O:O,"",0,-1),"Sem valor")</f>
        <v>3600212272</v>
      </c>
      <c r="L39" s="29">
        <f t="array" ref="L39">IFERROR(XLOOKUP($F39, 'MAPA DE VTR BPMA'!A:A,'MAPA DE VTR BPMA'!N:N,"",0,-1),"Sem valor")</f>
        <v>3600291103</v>
      </c>
      <c r="M39" s="29" t="str">
        <f t="array" ref="M39">IFERROR(XLOOKUP($F39, 'MAPA DE VTR BPMA'!A:A,'MAPA DE VTR BPMA'!I:I,"",0,-1),"Sem valor")</f>
        <v/>
      </c>
      <c r="N39" s="29" t="str">
        <f t="array" ref="N39">IFERROR(XLOOKUP($F39, 'MAPA DE VTR BPMA'!A:A,'MAPA DE VTR BPMA'!J:J,"",0,-1),"Sem valor")</f>
        <v>Disponível</v>
      </c>
      <c r="O39" s="29" t="str">
        <f t="array" ref="O39">IFERROR(XLOOKUP($F39, 'MAPA DE VTR BPMA'!A:A,'MAPA DE VTR BPMA'!H:H,"",0,-1),"Sem valor")</f>
        <v>SEDE BPMA</v>
      </c>
      <c r="P39" s="29"/>
    </row>
    <row r="40">
      <c r="A40" s="26" t="s">
        <v>233</v>
      </c>
      <c r="B40" s="28">
        <v>11.0</v>
      </c>
      <c r="C40" s="29" t="str">
        <f t="array" ref="C40">IFERROR(XLOOKUP(F40, 'MAPA DE VTR BPMA'!A:A,'MAPA DE VTR BPMA'!D:D,"",0,-1),"Sem valor")</f>
        <v>OPERACIONAL</v>
      </c>
      <c r="D40" s="29" t="str">
        <f t="array" ref="D40">IFERROR(XLOOKUP(F40, 'MAPA DE VTR BPMA'!A:A,'MAPA DE VTR BPMA'!E:E,"",0,-1),"Sem valor")</f>
        <v>MITSUBISHI</v>
      </c>
      <c r="E40" s="29" t="str">
        <f t="array" ref="E40">IFERROR(XLOOKUP(F40, 'MAPA DE VTR BPMA'!A:A,'MAPA DE VTR BPMA'!F:F,"",0,-1),"Sem valor")</f>
        <v>L200 TRITON GLS AT</v>
      </c>
      <c r="F40" s="30">
        <v>554448.0</v>
      </c>
      <c r="G40" s="29" t="str">
        <f t="array" ref="G40">IFERROR(XLOOKUP(F40, 'MAPA DE VTR BPMA'!A:A,'MAPA DE VTR BPMA'!L:L,"",0,-1),"Sem valor")</f>
        <v>SGV6D80</v>
      </c>
      <c r="H40" s="28" t="s">
        <v>234</v>
      </c>
      <c r="I40" s="29">
        <f t="array" ref="I40">IFERROR(XLOOKUP(F40, 'MAPA DE VTR BPMA'!A:A,'MAPA DE VTR BPMA'!G:G,"",0,-1),"Sem valor")</f>
        <v>2023</v>
      </c>
      <c r="J40" s="29">
        <f t="array" ref="J40">IFERROR(XLOOKUP(F40, 'MAPA DE VTR BPMA'!A:A,'MAPA DE VTR BPMA'!B:B,"",0,-1),"Sem valor")</f>
        <v>3600291075</v>
      </c>
      <c r="K40" s="29">
        <f t="array" ref="K40">IFERROR(XLOOKUP($F40, 'MAPA DE VTR BPMA'!A:A,'MAPA DE VTR BPMA'!O:O,"",0,-1),"Sem valor")</f>
        <v>3600213110</v>
      </c>
      <c r="L40" s="29">
        <f t="array" ref="L40">IFERROR(XLOOKUP($F40, 'MAPA DE VTR BPMA'!A:A,'MAPA DE VTR BPMA'!N:N,"",0,-1),"Sem valor")</f>
        <v>3600291107</v>
      </c>
      <c r="M40" s="29" t="str">
        <f t="array" ref="M40">IFERROR(XLOOKUP($F40, 'MAPA DE VTR BPMA'!A:A,'MAPA DE VTR BPMA'!I:I,"",0,-1),"Sem valor")</f>
        <v/>
      </c>
      <c r="N40" s="29" t="str">
        <f t="array" ref="N40">IFERROR(XLOOKUP($F40, 'MAPA DE VTR BPMA'!A:A,'MAPA DE VTR BPMA'!J:J,"",0,-1),"Sem valor")</f>
        <v>Indisponível</v>
      </c>
      <c r="O40" s="29" t="str">
        <f t="array" ref="O40">IFERROR(XLOOKUP($F40, 'MAPA DE VTR BPMA'!A:A,'MAPA DE VTR BPMA'!H:H,"",0,-1),"Sem valor")</f>
        <v>INDEFINIDO</v>
      </c>
      <c r="P40" s="29"/>
    </row>
    <row r="41">
      <c r="A41" s="26" t="s">
        <v>233</v>
      </c>
      <c r="B41" s="28">
        <v>12.0</v>
      </c>
      <c r="C41" s="29" t="str">
        <f t="array" ref="C41">IFERROR(XLOOKUP(F41, 'MAPA DE VTR BPMA'!A:A,'MAPA DE VTR BPMA'!D:D,"",0,-1),"Sem valor")</f>
        <v>OPERACIONAL</v>
      </c>
      <c r="D41" s="29" t="str">
        <f t="array" ref="D41">IFERROR(XLOOKUP(F41, 'MAPA DE VTR BPMA'!A:A,'MAPA DE VTR BPMA'!E:E,"",0,-1),"Sem valor")</f>
        <v>MITSUBISHI</v>
      </c>
      <c r="E41" s="29" t="str">
        <f t="array" ref="E41">IFERROR(XLOOKUP(F41, 'MAPA DE VTR BPMA'!A:A,'MAPA DE VTR BPMA'!F:F,"",0,-1),"Sem valor")</f>
        <v>L200 TRITON GLS AT</v>
      </c>
      <c r="F41" s="30">
        <v>554453.0</v>
      </c>
      <c r="G41" s="29" t="str">
        <f t="array" ref="G41">IFERROR(XLOOKUP(F41, 'MAPA DE VTR BPMA'!A:A,'MAPA DE VTR BPMA'!L:L,"",0,-1),"Sem valor")</f>
        <v>SGU9C86</v>
      </c>
      <c r="H41" s="28" t="s">
        <v>234</v>
      </c>
      <c r="I41" s="29">
        <f t="array" ref="I41">IFERROR(XLOOKUP(F41, 'MAPA DE VTR BPMA'!A:A,'MAPA DE VTR BPMA'!G:G,"",0,-1),"Sem valor")</f>
        <v>2023</v>
      </c>
      <c r="J41" s="29">
        <f t="array" ref="J41">IFERROR(XLOOKUP(F41, 'MAPA DE VTR BPMA'!A:A,'MAPA DE VTR BPMA'!B:B,"",0,-1),"Sem valor")</f>
        <v>3600291046</v>
      </c>
      <c r="K41" s="29">
        <f t="array" ref="K41">IFERROR(XLOOKUP($F41, 'MAPA DE VTR BPMA'!A:A,'MAPA DE VTR BPMA'!O:O,"",0,-1),"Sem valor")</f>
        <v>3600213111</v>
      </c>
      <c r="L41" s="29">
        <f t="array" ref="L41">IFERROR(XLOOKUP($F41, 'MAPA DE VTR BPMA'!A:A,'MAPA DE VTR BPMA'!N:N,"",0,-1),"Sem valor")</f>
        <v>3600291104</v>
      </c>
      <c r="M41" s="29" t="str">
        <f t="array" ref="M41">IFERROR(XLOOKUP($F41, 'MAPA DE VTR BPMA'!A:A,'MAPA DE VTR BPMA'!I:I,"",0,-1),"Sem valor")</f>
        <v/>
      </c>
      <c r="N41" s="29" t="str">
        <f t="array" ref="N41">IFERROR(XLOOKUP($F41, 'MAPA DE VTR BPMA'!A:A,'MAPA DE VTR BPMA'!J:J,"",0,-1),"Sem valor")</f>
        <v>Indisponível</v>
      </c>
      <c r="O41" s="29" t="str">
        <f t="array" ref="O41">IFERROR(XLOOKUP($F41, 'MAPA DE VTR BPMA'!A:A,'MAPA DE VTR BPMA'!H:H,"",0,-1),"Sem valor")</f>
        <v>SEDE BPMA</v>
      </c>
      <c r="P41" s="29"/>
    </row>
    <row r="42" ht="37.5" customHeight="1">
      <c r="A42" s="26" t="s">
        <v>242</v>
      </c>
      <c r="B42" s="31">
        <f>B41</f>
        <v>12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3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26" t="s">
        <v>233</v>
      </c>
      <c r="B43" s="28">
        <v>1.0</v>
      </c>
      <c r="C43" s="29" t="str">
        <f t="array" ref="C43">IFERROR(XLOOKUP(F43, 'MAPA DE VTR BPMA'!A:A,'MAPA DE VTR BPMA'!D:D,"",0,-1),"Sem valor")</f>
        <v>ADMINISTRATIVO</v>
      </c>
      <c r="D43" s="29" t="str">
        <f t="array" ref="D43">IFERROR(XLOOKUP(F43, 'MAPA DE VTR BPMA'!A:A,'MAPA DE VTR BPMA'!E:E,"",0,-1),"Sem valor")</f>
        <v>RENAULT</v>
      </c>
      <c r="E43" s="29" t="str">
        <f t="array" ref="E43">IFERROR(XLOOKUP(F43, 'MAPA DE VTR BPMA'!A:A,'MAPA DE VTR BPMA'!F:F,"",0,-1),"Sem valor")</f>
        <v>Kwid Intense 1.0L</v>
      </c>
      <c r="F43" s="30">
        <v>11943.0</v>
      </c>
      <c r="G43" s="29" t="str">
        <f t="array" ref="G43">IFERROR(XLOOKUP(F43, 'MAPA DE VTR BPMA'!A:A,'MAPA DE VTR BPMA'!L:L,"",0,-1),"Sem valor")</f>
        <v>PBR-6764</v>
      </c>
      <c r="H43" s="28" t="s">
        <v>234</v>
      </c>
      <c r="I43" s="29">
        <f t="array" ref="I43">IFERROR(XLOOKUP(F43, 'MAPA DE VTR BPMA'!A:A,'MAPA DE VTR BPMA'!G:G,"",0,-1),"Sem valor")</f>
        <v>2019</v>
      </c>
      <c r="J43" s="29">
        <f t="array" ref="J43">IFERROR(XLOOKUP(F43, 'MAPA DE VTR BPMA'!A:A,'MAPA DE VTR BPMA'!B:B,"",0,-1),"Sem valor")</f>
        <v>3600251179</v>
      </c>
      <c r="K43" s="29" t="str">
        <f t="array" ref="K43">IFERROR(XLOOKUP($F43, 'MAPA DE VTR BPMA'!A:A,'MAPA DE VTR BPMA'!O:O,"",0,-1),"Sem valor")</f>
        <v>NÃO TEM</v>
      </c>
      <c r="L43" s="29" t="str">
        <f t="array" ref="L43">IFERROR(XLOOKUP($F43, 'MAPA DE VTR BPMA'!A:A,'MAPA DE VTR BPMA'!N:N,"",0,-1),"Sem valor")</f>
        <v>NÃO SE APLICA</v>
      </c>
      <c r="M43" s="29" t="str">
        <f t="array" ref="M43">IFERROR(XLOOKUP($F43, 'MAPA DE VTR BPMA'!A:A,'MAPA DE VTR BPMA'!I:I,"",0,-1),"Sem valor")</f>
        <v/>
      </c>
      <c r="N43" s="29" t="str">
        <f t="array" ref="N43">IFERROR(XLOOKUP($F43, 'MAPA DE VTR BPMA'!A:A,'MAPA DE VTR BPMA'!J:J,"",0,-1),"Sem valor")</f>
        <v>Disponível</v>
      </c>
      <c r="O43" s="29" t="str">
        <f t="array" ref="O43">IFERROR(XLOOKUP($F43, 'MAPA DE VTR BPMA'!A:A,'MAPA DE VTR BPMA'!H:H,"",0,-1),"Sem valor")</f>
        <v>11º BPM</v>
      </c>
      <c r="P43" s="29"/>
    </row>
    <row r="44" ht="37.5" customHeight="1">
      <c r="A44" s="26" t="s">
        <v>243</v>
      </c>
      <c r="B44" s="31">
        <f>B43</f>
        <v>1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3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26" t="s">
        <v>233</v>
      </c>
      <c r="B45" s="28">
        <v>1.0</v>
      </c>
      <c r="C45" s="29" t="str">
        <f t="array" ref="C45">IFERROR(XLOOKUP(F45, 'MAPA DE VTR BPMA'!A:A,'MAPA DE VTR BPMA'!D:D,"",0,-1),"Sem valor")</f>
        <v>OPERACIONAL</v>
      </c>
      <c r="D45" s="29" t="str">
        <f t="array" ref="D45">IFERROR(XLOOKUP(F45, 'MAPA DE VTR BPMA'!A:A,'MAPA DE VTR BPMA'!E:E,"",0,-1),"Sem valor")</f>
        <v>TOYOTA</v>
      </c>
      <c r="E45" s="29" t="str">
        <f t="array" ref="E45">IFERROR(XLOOKUP(F45, 'MAPA DE VTR BPMA'!A:A,'MAPA DE VTR BPMA'!F:F,"",0,-1),"Sem valor")</f>
        <v>HILLUX</v>
      </c>
      <c r="F45" s="30">
        <v>553520.0</v>
      </c>
      <c r="G45" s="29" t="str">
        <f t="array" ref="G45">IFERROR(XLOOKUP(F45, 'MAPA DE VTR BPMA'!A:A,'MAPA DE VTR BPMA'!L:L,"",0,-1),"Sem valor")</f>
        <v>PBE-5A51</v>
      </c>
      <c r="H45" s="28" t="s">
        <v>234</v>
      </c>
      <c r="I45" s="29">
        <f t="array" ref="I45">IFERROR(XLOOKUP(F45, 'MAPA DE VTR BPMA'!A:A,'MAPA DE VTR BPMA'!G:G,"",0,-1),"Sem valor")</f>
        <v>2017</v>
      </c>
      <c r="J45" s="29">
        <f t="array" ref="J45">IFERROR(XLOOKUP(F45, 'MAPA DE VTR BPMA'!A:A,'MAPA DE VTR BPMA'!B:B,"",0,-1),"Sem valor")</f>
        <v>3600230995</v>
      </c>
      <c r="K45" s="29">
        <f t="array" ref="K45">IFERROR(XLOOKUP($F45, 'MAPA DE VTR BPMA'!A:A,'MAPA DE VTR BPMA'!O:O,"",0,-1),"Sem valor")</f>
        <v>3600231011</v>
      </c>
      <c r="L45" s="29">
        <f t="array" ref="L45">IFERROR(XLOOKUP($F45, 'MAPA DE VTR BPMA'!A:A,'MAPA DE VTR BPMA'!N:N,"",0,-1),"Sem valor")</f>
        <v>3600231027</v>
      </c>
      <c r="M45" s="29" t="str">
        <f t="array" ref="M45">IFERROR(XLOOKUP($F45, 'MAPA DE VTR BPMA'!A:A,'MAPA DE VTR BPMA'!I:I,"",0,-1),"Sem valor")</f>
        <v/>
      </c>
      <c r="N45" s="29" t="str">
        <f t="array" ref="N45">IFERROR(XLOOKUP($F45, 'MAPA DE VTR BPMA'!A:A,'MAPA DE VTR BPMA'!J:J,"",0,-1),"Sem valor")</f>
        <v>Disponível</v>
      </c>
      <c r="O45" s="29" t="str">
        <f t="array" ref="O45">IFERROR(XLOOKUP($F45, 'MAPA DE VTR BPMA'!A:A,'MAPA DE VTR BPMA'!H:H,"",0,-1),"Sem valor")</f>
        <v>INDEFINIDO</v>
      </c>
      <c r="P45" s="29"/>
    </row>
    <row r="46">
      <c r="A46" s="26" t="s">
        <v>233</v>
      </c>
      <c r="B46" s="28">
        <v>2.0</v>
      </c>
      <c r="C46" s="29" t="str">
        <f t="array" ref="C46">IFERROR(XLOOKUP(F46, 'MAPA DE VTR BPMA'!A:A,'MAPA DE VTR BPMA'!D:D,"",0,-1),"Sem valor")</f>
        <v>OPERACIONAL</v>
      </c>
      <c r="D46" s="29" t="str">
        <f t="array" ref="D46">IFERROR(XLOOKUP(F46, 'MAPA DE VTR BPMA'!A:A,'MAPA DE VTR BPMA'!E:E,"",0,-1),"Sem valor")</f>
        <v>TOYOTA</v>
      </c>
      <c r="E46" s="29" t="str">
        <f t="array" ref="E46">IFERROR(XLOOKUP(F46, 'MAPA DE VTR BPMA'!A:A,'MAPA DE VTR BPMA'!F:F,"",0,-1),"Sem valor")</f>
        <v>HILLUX</v>
      </c>
      <c r="F46" s="30">
        <v>553556.0</v>
      </c>
      <c r="G46" s="29" t="str">
        <f t="array" ref="G46">IFERROR(XLOOKUP(F46, 'MAPA DE VTR BPMA'!A:A,'MAPA DE VTR BPMA'!L:L,"",0,-1),"Sem valor")</f>
        <v>PBI-8727</v>
      </c>
      <c r="H46" s="28" t="s">
        <v>234</v>
      </c>
      <c r="I46" s="29">
        <f t="array" ref="I46">IFERROR(XLOOKUP(F46, 'MAPA DE VTR BPMA'!A:A,'MAPA DE VTR BPMA'!G:G,"",0,-1),"Sem valor")</f>
        <v>2017</v>
      </c>
      <c r="J46" s="29">
        <f t="array" ref="J46">IFERROR(XLOOKUP(F46, 'MAPA DE VTR BPMA'!A:A,'MAPA DE VTR BPMA'!B:B,"",0,-1),"Sem valor")</f>
        <v>3600242724</v>
      </c>
      <c r="K46" s="29">
        <f t="array" ref="K46">IFERROR(XLOOKUP($F46, 'MAPA DE VTR BPMA'!A:A,'MAPA DE VTR BPMA'!O:O,"",0,-1),"Sem valor")</f>
        <v>3600242749</v>
      </c>
      <c r="L46" s="29">
        <f t="array" ref="L46">IFERROR(XLOOKUP($F46, 'MAPA DE VTR BPMA'!A:A,'MAPA DE VTR BPMA'!N:N,"",0,-1),"Sem valor")</f>
        <v>3600242774</v>
      </c>
      <c r="M46" s="29" t="str">
        <f t="array" ref="M46">IFERROR(XLOOKUP($F46, 'MAPA DE VTR BPMA'!A:A,'MAPA DE VTR BPMA'!I:I,"",0,-1),"Sem valor")</f>
        <v/>
      </c>
      <c r="N46" s="29" t="str">
        <f t="array" ref="N46">IFERROR(XLOOKUP($F46, 'MAPA DE VTR BPMA'!A:A,'MAPA DE VTR BPMA'!J:J,"",0,-1),"Sem valor")</f>
        <v>Disponível</v>
      </c>
      <c r="O46" s="29" t="str">
        <f t="array" ref="O46">IFERROR(XLOOKUP($F46, 'MAPA DE VTR BPMA'!A:A,'MAPA DE VTR BPMA'!H:H,"",0,-1),"Sem valor")</f>
        <v>INDEFINIDO</v>
      </c>
      <c r="P46" s="29"/>
    </row>
    <row r="47" ht="37.5" customHeight="1">
      <c r="A47" s="26" t="s">
        <v>244</v>
      </c>
      <c r="B47" s="31">
        <f>B46</f>
        <v>2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3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26" t="s">
        <v>233</v>
      </c>
      <c r="B48" s="28">
        <v>1.0</v>
      </c>
      <c r="C48" s="29" t="str">
        <f t="array" ref="C48">IFERROR(XLOOKUP(F48, 'MAPA DE VTR BPMA'!A:A,'MAPA DE VTR BPMA'!D:D,"",0,-1),"Sem valor")</f>
        <v>ADMINISTRATIVO</v>
      </c>
      <c r="D48" s="29" t="str">
        <f t="array" ref="D48">IFERROR(XLOOKUP(F48, 'MAPA DE VTR BPMA'!A:A,'MAPA DE VTR BPMA'!E:E,"",0,-1),"Sem valor")</f>
        <v>YAMAHA</v>
      </c>
      <c r="E48" s="29" t="str">
        <f t="array" ref="E48">IFERROR(XLOOKUP(F48, 'MAPA DE VTR BPMA'!A:A,'MAPA DE VTR BPMA'!F:F,"",0,-1),"Sem valor")</f>
        <v>LANDER XTZ 250 CC</v>
      </c>
      <c r="F48" s="30">
        <v>442065.0</v>
      </c>
      <c r="G48" s="29" t="str">
        <f t="array" ref="G48">IFERROR(XLOOKUP(F48, 'MAPA DE VTR BPMA'!A:A,'MAPA DE VTR BPMA'!L:L,"",0,-1),"Sem valor")</f>
        <v>REI-7I45</v>
      </c>
      <c r="H48" s="28" t="s">
        <v>234</v>
      </c>
      <c r="I48" s="29" t="str">
        <f t="array" ref="I48">IFERROR(XLOOKUP(F48, 'MAPA DE VTR BPMA'!A:A,'MAPA DE VTR BPMA'!G:G,"",0,-1),"Sem valor")</f>
        <v>2020/2021</v>
      </c>
      <c r="J48" s="29">
        <f t="array" ref="J48">IFERROR(XLOOKUP(F48, 'MAPA DE VTR BPMA'!A:A,'MAPA DE VTR BPMA'!B:B,"",0,-1),"Sem valor")</f>
        <v>3600258744</v>
      </c>
      <c r="K48" s="29" t="str">
        <f t="array" ref="K48">IFERROR(XLOOKUP($F48, 'MAPA DE VTR BPMA'!A:A,'MAPA DE VTR BPMA'!O:O,"",0,-1),"Sem valor")</f>
        <v>NÃO TEM</v>
      </c>
      <c r="L48" s="29">
        <f t="array" ref="L48">IFERROR(XLOOKUP($F48, 'MAPA DE VTR BPMA'!A:A,'MAPA DE VTR BPMA'!N:N,"",0,-1),"Sem valor")</f>
        <v>3600258844</v>
      </c>
      <c r="M48" s="29" t="str">
        <f t="array" ref="M48">IFERROR(XLOOKUP($F48, 'MAPA DE VTR BPMA'!A:A,'MAPA DE VTR BPMA'!I:I,"",0,-1),"Sem valor")</f>
        <v/>
      </c>
      <c r="N48" s="29" t="str">
        <f t="array" ref="N48">IFERROR(XLOOKUP($F48, 'MAPA DE VTR BPMA'!A:A,'MAPA DE VTR BPMA'!J:J,"",0,-1),"Sem valor")</f>
        <v>Disponível</v>
      </c>
      <c r="O48" s="29" t="str">
        <f t="array" ref="O48">IFERROR(XLOOKUP($F48, 'MAPA DE VTR BPMA'!A:A,'MAPA DE VTR BPMA'!H:H,"",0,-1),"Sem valor")</f>
        <v>SEDE BPMA</v>
      </c>
      <c r="P48" s="29"/>
    </row>
    <row r="49">
      <c r="A49" s="26" t="s">
        <v>233</v>
      </c>
      <c r="B49" s="28">
        <v>2.0</v>
      </c>
      <c r="C49" s="29" t="str">
        <f t="array" ref="C49">IFERROR(XLOOKUP(F49, 'MAPA DE VTR BPMA'!A:A,'MAPA DE VTR BPMA'!D:D,"",0,-1),"Sem valor")</f>
        <v>ADMINISTRATIVO</v>
      </c>
      <c r="D49" s="29" t="str">
        <f t="array" ref="D49">IFERROR(XLOOKUP(F49, 'MAPA DE VTR BPMA'!A:A,'MAPA DE VTR BPMA'!E:E,"",0,-1),"Sem valor")</f>
        <v>YAMAHA</v>
      </c>
      <c r="E49" s="29" t="str">
        <f t="array" ref="E49">IFERROR(XLOOKUP(F49, 'MAPA DE VTR BPMA'!A:A,'MAPA DE VTR BPMA'!F:F,"",0,-1),"Sem valor")</f>
        <v>LANDER XTZ 250 CC</v>
      </c>
      <c r="F49" s="30">
        <v>442066.0</v>
      </c>
      <c r="G49" s="29" t="str">
        <f t="array" ref="G49">IFERROR(XLOOKUP(F49, 'MAPA DE VTR BPMA'!A:A,'MAPA DE VTR BPMA'!L:L,"",0,-1),"Sem valor")</f>
        <v>REI-7I26</v>
      </c>
      <c r="H49" s="28" t="s">
        <v>234</v>
      </c>
      <c r="I49" s="29" t="str">
        <f t="array" ref="I49">IFERROR(XLOOKUP(F49, 'MAPA DE VTR BPMA'!A:A,'MAPA DE VTR BPMA'!G:G,"",0,-1),"Sem valor")</f>
        <v>2020/2021</v>
      </c>
      <c r="J49" s="29">
        <f t="array" ref="J49">IFERROR(XLOOKUP(F49, 'MAPA DE VTR BPMA'!A:A,'MAPA DE VTR BPMA'!B:B,"",0,-1),"Sem valor")</f>
        <v>3600258745</v>
      </c>
      <c r="K49" s="29" t="str">
        <f t="array" ref="K49">IFERROR(XLOOKUP($F49, 'MAPA DE VTR BPMA'!A:A,'MAPA DE VTR BPMA'!O:O,"",0,-1),"Sem valor")</f>
        <v>NÃO TEM</v>
      </c>
      <c r="L49" s="29">
        <f t="array" ref="L49">IFERROR(XLOOKUP($F49, 'MAPA DE VTR BPMA'!A:A,'MAPA DE VTR BPMA'!N:N,"",0,-1),"Sem valor")</f>
        <v>3600258845</v>
      </c>
      <c r="M49" s="29" t="str">
        <f t="array" ref="M49">IFERROR(XLOOKUP($F49, 'MAPA DE VTR BPMA'!A:A,'MAPA DE VTR BPMA'!I:I,"",0,-1),"Sem valor")</f>
        <v/>
      </c>
      <c r="N49" s="29" t="str">
        <f t="array" ref="N49">IFERROR(XLOOKUP($F49, 'MAPA DE VTR BPMA'!A:A,'MAPA DE VTR BPMA'!J:J,"",0,-1),"Sem valor")</f>
        <v>Disponível</v>
      </c>
      <c r="O49" s="29" t="str">
        <f t="array" ref="O49">IFERROR(XLOOKUP($F49, 'MAPA DE VTR BPMA'!A:A,'MAPA DE VTR BPMA'!H:H,"",0,-1),"Sem valor")</f>
        <v>SEDE BPMA</v>
      </c>
      <c r="P49" s="29"/>
    </row>
    <row r="50" ht="37.5" customHeight="1">
      <c r="A50" s="26" t="s">
        <v>245</v>
      </c>
      <c r="B50" s="31">
        <f>B49</f>
        <v>2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3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37.5" customHeight="1">
      <c r="A51" s="26" t="s">
        <v>246</v>
      </c>
      <c r="B51" s="31">
        <f>SUM(B2+B15+B20+B22+B24+B26+B28+B41+B43+B46+B49)</f>
        <v>38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3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4"/>
      <c r="E52" s="45"/>
      <c r="G52" s="45"/>
      <c r="H52" s="45"/>
    </row>
    <row r="53">
      <c r="A53" s="44"/>
      <c r="E53" s="45"/>
      <c r="G53" s="45"/>
      <c r="H53" s="45"/>
    </row>
    <row r="54">
      <c r="A54" s="44"/>
      <c r="E54" s="45"/>
      <c r="G54" s="45"/>
      <c r="H54" s="45"/>
    </row>
    <row r="55">
      <c r="A55" s="44"/>
      <c r="E55" s="45"/>
      <c r="G55" s="45"/>
      <c r="H55" s="45"/>
    </row>
    <row r="56">
      <c r="A56" s="44"/>
      <c r="E56" s="45"/>
      <c r="G56" s="45"/>
      <c r="H56" s="45"/>
    </row>
    <row r="57">
      <c r="A57" s="44"/>
      <c r="E57" s="45"/>
      <c r="G57" s="45"/>
      <c r="H57" s="45"/>
    </row>
    <row r="58">
      <c r="A58" s="44"/>
      <c r="E58" s="45"/>
      <c r="G58" s="45"/>
      <c r="H58" s="45"/>
    </row>
    <row r="59">
      <c r="A59" s="44"/>
      <c r="E59" s="45"/>
      <c r="G59" s="45"/>
      <c r="H59" s="45"/>
    </row>
    <row r="60">
      <c r="A60" s="44"/>
      <c r="E60" s="45"/>
      <c r="G60" s="45"/>
      <c r="H60" s="45"/>
    </row>
    <row r="61">
      <c r="A61" s="44"/>
      <c r="E61" s="45"/>
      <c r="G61" s="45"/>
      <c r="H61" s="45"/>
    </row>
    <row r="62">
      <c r="A62" s="44"/>
      <c r="E62" s="45"/>
      <c r="G62" s="45"/>
      <c r="H62" s="45"/>
    </row>
    <row r="63">
      <c r="A63" s="44"/>
      <c r="E63" s="45"/>
      <c r="G63" s="45"/>
      <c r="H63" s="45"/>
    </row>
    <row r="64">
      <c r="A64" s="44"/>
      <c r="E64" s="45"/>
      <c r="G64" s="45"/>
      <c r="H64" s="45"/>
    </row>
    <row r="65">
      <c r="A65" s="44"/>
      <c r="E65" s="45"/>
      <c r="G65" s="45"/>
      <c r="H65" s="45"/>
    </row>
    <row r="66">
      <c r="A66" s="44"/>
      <c r="E66" s="45"/>
      <c r="G66" s="45"/>
      <c r="H66" s="45"/>
    </row>
    <row r="67">
      <c r="A67" s="44"/>
      <c r="E67" s="45"/>
      <c r="G67" s="45"/>
      <c r="H67" s="45"/>
    </row>
    <row r="68">
      <c r="A68" s="44"/>
      <c r="E68" s="45"/>
      <c r="G68" s="45"/>
      <c r="H68" s="45"/>
    </row>
    <row r="69">
      <c r="A69" s="44"/>
      <c r="E69" s="45"/>
      <c r="G69" s="45"/>
      <c r="H69" s="45"/>
    </row>
    <row r="70">
      <c r="A70" s="44"/>
      <c r="E70" s="45"/>
      <c r="G70" s="45"/>
      <c r="H70" s="45"/>
    </row>
    <row r="71">
      <c r="A71" s="44"/>
      <c r="E71" s="45"/>
      <c r="G71" s="45"/>
      <c r="H71" s="45"/>
    </row>
    <row r="72">
      <c r="A72" s="44"/>
      <c r="E72" s="45"/>
      <c r="G72" s="45"/>
      <c r="H72" s="45"/>
    </row>
    <row r="73">
      <c r="A73" s="44"/>
      <c r="E73" s="45"/>
      <c r="G73" s="45"/>
      <c r="H73" s="45"/>
    </row>
    <row r="74">
      <c r="A74" s="44"/>
      <c r="E74" s="45"/>
      <c r="G74" s="45"/>
      <c r="H74" s="45"/>
    </row>
    <row r="75">
      <c r="A75" s="44"/>
      <c r="E75" s="45"/>
      <c r="G75" s="45"/>
      <c r="H75" s="45"/>
    </row>
    <row r="76">
      <c r="A76" s="44"/>
      <c r="E76" s="45"/>
      <c r="G76" s="45"/>
      <c r="H76" s="45"/>
    </row>
    <row r="77">
      <c r="A77" s="44"/>
      <c r="E77" s="45"/>
      <c r="G77" s="45"/>
      <c r="H77" s="45"/>
    </row>
    <row r="78">
      <c r="A78" s="44"/>
      <c r="E78" s="45"/>
      <c r="G78" s="45"/>
      <c r="H78" s="45"/>
    </row>
    <row r="79">
      <c r="A79" s="44"/>
      <c r="E79" s="45"/>
      <c r="G79" s="45"/>
      <c r="H79" s="45"/>
    </row>
    <row r="80">
      <c r="A80" s="44"/>
      <c r="E80" s="45"/>
      <c r="G80" s="45"/>
      <c r="H80" s="45"/>
    </row>
    <row r="81">
      <c r="A81" s="44"/>
      <c r="E81" s="45"/>
      <c r="G81" s="45"/>
      <c r="H81" s="45"/>
    </row>
    <row r="82">
      <c r="A82" s="44"/>
      <c r="E82" s="45"/>
      <c r="G82" s="45"/>
      <c r="H82" s="45"/>
    </row>
    <row r="83">
      <c r="A83" s="44"/>
      <c r="E83" s="45"/>
      <c r="G83" s="45"/>
      <c r="H83" s="45"/>
    </row>
    <row r="84">
      <c r="A84" s="44"/>
      <c r="E84" s="45"/>
      <c r="G84" s="45"/>
      <c r="H84" s="45"/>
    </row>
    <row r="85">
      <c r="A85" s="44"/>
      <c r="E85" s="45"/>
      <c r="G85" s="45"/>
      <c r="H85" s="45"/>
    </row>
    <row r="86">
      <c r="A86" s="44"/>
      <c r="E86" s="45"/>
      <c r="G86" s="45"/>
      <c r="H86" s="45"/>
    </row>
    <row r="87">
      <c r="A87" s="44"/>
      <c r="E87" s="45"/>
      <c r="G87" s="45"/>
      <c r="H87" s="45"/>
    </row>
    <row r="88">
      <c r="A88" s="44"/>
      <c r="E88" s="45"/>
      <c r="G88" s="45"/>
      <c r="H88" s="45"/>
    </row>
    <row r="89">
      <c r="A89" s="44"/>
      <c r="E89" s="45"/>
      <c r="G89" s="45"/>
      <c r="H89" s="45"/>
    </row>
    <row r="90">
      <c r="A90" s="44"/>
      <c r="E90" s="45"/>
      <c r="G90" s="45"/>
      <c r="H90" s="45"/>
    </row>
    <row r="91">
      <c r="A91" s="44"/>
      <c r="E91" s="45"/>
      <c r="G91" s="45"/>
      <c r="H91" s="45"/>
    </row>
    <row r="92">
      <c r="A92" s="44"/>
      <c r="E92" s="45"/>
      <c r="G92" s="45"/>
      <c r="H92" s="45"/>
    </row>
    <row r="93">
      <c r="A93" s="44"/>
      <c r="E93" s="45"/>
      <c r="G93" s="45"/>
      <c r="H93" s="45"/>
    </row>
    <row r="94">
      <c r="A94" s="44"/>
      <c r="E94" s="45"/>
      <c r="G94" s="45"/>
      <c r="H94" s="45"/>
    </row>
    <row r="95">
      <c r="A95" s="44"/>
      <c r="E95" s="45"/>
      <c r="G95" s="45"/>
      <c r="H95" s="45"/>
    </row>
    <row r="96">
      <c r="A96" s="44"/>
      <c r="E96" s="45"/>
      <c r="G96" s="45"/>
      <c r="H96" s="45"/>
    </row>
    <row r="97">
      <c r="A97" s="44"/>
      <c r="E97" s="45"/>
      <c r="G97" s="45"/>
      <c r="H97" s="45"/>
    </row>
    <row r="98">
      <c r="A98" s="44"/>
      <c r="E98" s="45"/>
      <c r="G98" s="45"/>
      <c r="H98" s="45"/>
    </row>
    <row r="99">
      <c r="A99" s="44"/>
      <c r="E99" s="45"/>
      <c r="G99" s="45"/>
      <c r="H99" s="45"/>
    </row>
    <row r="100">
      <c r="A100" s="44"/>
      <c r="E100" s="45"/>
      <c r="G100" s="45"/>
      <c r="H100" s="45"/>
    </row>
    <row r="101">
      <c r="A101" s="44"/>
      <c r="E101" s="45"/>
      <c r="G101" s="45"/>
      <c r="H101" s="45"/>
    </row>
    <row r="102">
      <c r="A102" s="44"/>
      <c r="E102" s="45"/>
      <c r="G102" s="45"/>
      <c r="H102" s="45"/>
    </row>
    <row r="103">
      <c r="A103" s="44"/>
      <c r="E103" s="45"/>
      <c r="G103" s="45"/>
      <c r="H103" s="45"/>
    </row>
    <row r="104">
      <c r="A104" s="44"/>
      <c r="E104" s="45"/>
      <c r="G104" s="45"/>
      <c r="H104" s="45"/>
    </row>
    <row r="105">
      <c r="A105" s="44"/>
      <c r="E105" s="45"/>
      <c r="G105" s="45"/>
      <c r="H105" s="45"/>
    </row>
    <row r="106">
      <c r="A106" s="44"/>
      <c r="E106" s="45"/>
      <c r="G106" s="45"/>
      <c r="H106" s="45"/>
    </row>
    <row r="107">
      <c r="A107" s="44"/>
      <c r="E107" s="45"/>
      <c r="G107" s="45"/>
      <c r="H107" s="45"/>
    </row>
    <row r="108">
      <c r="A108" s="44"/>
      <c r="E108" s="45"/>
      <c r="G108" s="45"/>
      <c r="H108" s="45"/>
    </row>
    <row r="109">
      <c r="A109" s="44"/>
      <c r="E109" s="45"/>
      <c r="G109" s="45"/>
      <c r="H109" s="45"/>
    </row>
    <row r="110">
      <c r="A110" s="44"/>
      <c r="E110" s="45"/>
      <c r="G110" s="45"/>
      <c r="H110" s="45"/>
    </row>
    <row r="111">
      <c r="A111" s="44"/>
      <c r="E111" s="45"/>
      <c r="G111" s="45"/>
      <c r="H111" s="45"/>
    </row>
    <row r="112">
      <c r="A112" s="44"/>
      <c r="E112" s="45"/>
      <c r="G112" s="45"/>
      <c r="H112" s="45"/>
    </row>
    <row r="113">
      <c r="A113" s="44"/>
      <c r="E113" s="45"/>
      <c r="G113" s="45"/>
      <c r="H113" s="45"/>
    </row>
    <row r="114">
      <c r="A114" s="44"/>
      <c r="E114" s="45"/>
      <c r="G114" s="45"/>
      <c r="H114" s="45"/>
    </row>
    <row r="115">
      <c r="A115" s="44"/>
      <c r="E115" s="45"/>
      <c r="G115" s="45"/>
      <c r="H115" s="45"/>
    </row>
    <row r="116">
      <c r="A116" s="44"/>
      <c r="E116" s="45"/>
      <c r="G116" s="45"/>
      <c r="H116" s="45"/>
    </row>
    <row r="117">
      <c r="A117" s="44"/>
      <c r="E117" s="45"/>
      <c r="G117" s="45"/>
      <c r="H117" s="45"/>
    </row>
    <row r="118">
      <c r="A118" s="44"/>
      <c r="E118" s="45"/>
      <c r="G118" s="45"/>
      <c r="H118" s="45"/>
    </row>
    <row r="119">
      <c r="A119" s="44"/>
      <c r="E119" s="45"/>
      <c r="G119" s="45"/>
      <c r="H119" s="45"/>
    </row>
    <row r="120">
      <c r="A120" s="44"/>
      <c r="E120" s="45"/>
      <c r="G120" s="45"/>
      <c r="H120" s="45"/>
    </row>
    <row r="121">
      <c r="A121" s="44"/>
      <c r="E121" s="45"/>
      <c r="G121" s="45"/>
      <c r="H121" s="45"/>
    </row>
    <row r="122">
      <c r="A122" s="44"/>
      <c r="E122" s="45"/>
      <c r="G122" s="45"/>
      <c r="H122" s="45"/>
    </row>
    <row r="123">
      <c r="A123" s="44"/>
      <c r="E123" s="45"/>
      <c r="G123" s="45"/>
      <c r="H123" s="45"/>
    </row>
    <row r="124">
      <c r="A124" s="44"/>
      <c r="E124" s="45"/>
      <c r="G124" s="45"/>
      <c r="H124" s="45"/>
    </row>
    <row r="125">
      <c r="A125" s="44"/>
      <c r="E125" s="45"/>
      <c r="G125" s="45"/>
      <c r="H125" s="45"/>
    </row>
    <row r="126">
      <c r="A126" s="44"/>
      <c r="E126" s="45"/>
      <c r="G126" s="45"/>
      <c r="H126" s="45"/>
    </row>
    <row r="127">
      <c r="A127" s="44"/>
      <c r="E127" s="45"/>
      <c r="G127" s="45"/>
      <c r="H127" s="45"/>
    </row>
    <row r="128">
      <c r="A128" s="44"/>
      <c r="E128" s="45"/>
      <c r="G128" s="45"/>
      <c r="H128" s="45"/>
    </row>
    <row r="129">
      <c r="A129" s="44"/>
      <c r="E129" s="45"/>
      <c r="G129" s="45"/>
      <c r="H129" s="45"/>
    </row>
    <row r="130">
      <c r="A130" s="44"/>
      <c r="E130" s="45"/>
      <c r="G130" s="45"/>
      <c r="H130" s="45"/>
    </row>
    <row r="131">
      <c r="A131" s="44"/>
      <c r="E131" s="45"/>
      <c r="G131" s="45"/>
      <c r="H131" s="45"/>
    </row>
    <row r="132">
      <c r="A132" s="44"/>
      <c r="E132" s="45"/>
      <c r="G132" s="45"/>
      <c r="H132" s="45"/>
    </row>
    <row r="133">
      <c r="A133" s="44"/>
      <c r="E133" s="45"/>
      <c r="G133" s="45"/>
      <c r="H133" s="45"/>
    </row>
    <row r="134">
      <c r="A134" s="44"/>
      <c r="E134" s="45"/>
      <c r="G134" s="45"/>
      <c r="H134" s="45"/>
    </row>
    <row r="135">
      <c r="A135" s="44"/>
      <c r="E135" s="45"/>
      <c r="G135" s="45"/>
      <c r="H135" s="45"/>
    </row>
    <row r="136">
      <c r="A136" s="44"/>
      <c r="E136" s="45"/>
      <c r="G136" s="45"/>
      <c r="H136" s="45"/>
    </row>
    <row r="137">
      <c r="A137" s="44"/>
      <c r="E137" s="45"/>
      <c r="G137" s="45"/>
      <c r="H137" s="45"/>
    </row>
    <row r="138">
      <c r="A138" s="44"/>
      <c r="E138" s="45"/>
      <c r="G138" s="45"/>
      <c r="H138" s="45"/>
    </row>
    <row r="139">
      <c r="A139" s="44"/>
      <c r="E139" s="45"/>
      <c r="G139" s="45"/>
      <c r="H139" s="45"/>
    </row>
    <row r="140">
      <c r="A140" s="44"/>
      <c r="E140" s="45"/>
      <c r="G140" s="45"/>
      <c r="H140" s="45"/>
    </row>
    <row r="141">
      <c r="A141" s="44"/>
      <c r="E141" s="45"/>
      <c r="G141" s="45"/>
      <c r="H141" s="45"/>
    </row>
    <row r="142">
      <c r="A142" s="44"/>
      <c r="E142" s="45"/>
      <c r="G142" s="45"/>
      <c r="H142" s="45"/>
    </row>
    <row r="143">
      <c r="A143" s="44"/>
      <c r="E143" s="45"/>
      <c r="G143" s="45"/>
      <c r="H143" s="45"/>
    </row>
    <row r="144">
      <c r="A144" s="44"/>
      <c r="E144" s="45"/>
      <c r="G144" s="45"/>
      <c r="H144" s="45"/>
    </row>
    <row r="145">
      <c r="A145" s="44"/>
      <c r="E145" s="45"/>
      <c r="G145" s="45"/>
      <c r="H145" s="45"/>
    </row>
    <row r="146">
      <c r="A146" s="44"/>
      <c r="E146" s="45"/>
      <c r="G146" s="45"/>
      <c r="H146" s="45"/>
    </row>
    <row r="147">
      <c r="A147" s="44"/>
      <c r="E147" s="45"/>
      <c r="G147" s="45"/>
      <c r="H147" s="45"/>
    </row>
    <row r="148">
      <c r="A148" s="44"/>
      <c r="E148" s="45"/>
      <c r="G148" s="45"/>
      <c r="H148" s="45"/>
    </row>
    <row r="149">
      <c r="A149" s="44"/>
      <c r="E149" s="45"/>
      <c r="G149" s="45"/>
      <c r="H149" s="45"/>
    </row>
    <row r="150">
      <c r="A150" s="44"/>
      <c r="E150" s="45"/>
      <c r="G150" s="45"/>
      <c r="H150" s="45"/>
    </row>
    <row r="151">
      <c r="A151" s="44"/>
      <c r="E151" s="45"/>
      <c r="G151" s="45"/>
      <c r="H151" s="45"/>
    </row>
    <row r="152">
      <c r="A152" s="44"/>
      <c r="E152" s="45"/>
      <c r="G152" s="45"/>
      <c r="H152" s="45"/>
    </row>
    <row r="153">
      <c r="A153" s="44"/>
      <c r="E153" s="45"/>
      <c r="G153" s="45"/>
      <c r="H153" s="45"/>
    </row>
    <row r="154">
      <c r="A154" s="44"/>
      <c r="E154" s="45"/>
      <c r="G154" s="45"/>
      <c r="H154" s="45"/>
    </row>
    <row r="155">
      <c r="A155" s="44"/>
      <c r="E155" s="45"/>
      <c r="G155" s="45"/>
      <c r="H155" s="45"/>
    </row>
    <row r="156">
      <c r="A156" s="44"/>
      <c r="E156" s="45"/>
      <c r="G156" s="45"/>
      <c r="H156" s="45"/>
    </row>
    <row r="157">
      <c r="A157" s="44"/>
      <c r="E157" s="45"/>
      <c r="G157" s="45"/>
      <c r="H157" s="45"/>
    </row>
    <row r="158">
      <c r="A158" s="44"/>
      <c r="E158" s="45"/>
      <c r="G158" s="45"/>
      <c r="H158" s="45"/>
    </row>
    <row r="159">
      <c r="A159" s="44"/>
      <c r="E159" s="45"/>
      <c r="G159" s="45"/>
      <c r="H159" s="45"/>
    </row>
    <row r="160">
      <c r="A160" s="44"/>
      <c r="E160" s="45"/>
      <c r="G160" s="45"/>
      <c r="H160" s="45"/>
    </row>
    <row r="161">
      <c r="A161" s="44"/>
      <c r="E161" s="45"/>
      <c r="G161" s="45"/>
      <c r="H161" s="45"/>
    </row>
    <row r="162">
      <c r="A162" s="44"/>
      <c r="E162" s="45"/>
      <c r="G162" s="45"/>
      <c r="H162" s="45"/>
    </row>
    <row r="163">
      <c r="A163" s="44"/>
      <c r="E163" s="45"/>
      <c r="G163" s="45"/>
      <c r="H163" s="45"/>
    </row>
    <row r="164">
      <c r="A164" s="44"/>
      <c r="E164" s="45"/>
      <c r="G164" s="45"/>
      <c r="H164" s="45"/>
    </row>
    <row r="165">
      <c r="A165" s="44"/>
      <c r="E165" s="45"/>
      <c r="G165" s="45"/>
      <c r="H165" s="45"/>
    </row>
    <row r="166">
      <c r="A166" s="44"/>
      <c r="E166" s="45"/>
      <c r="G166" s="45"/>
      <c r="H166" s="45"/>
    </row>
    <row r="167">
      <c r="A167" s="44"/>
      <c r="E167" s="45"/>
      <c r="G167" s="45"/>
      <c r="H167" s="45"/>
    </row>
    <row r="168">
      <c r="A168" s="44"/>
      <c r="E168" s="45"/>
      <c r="G168" s="45"/>
      <c r="H168" s="45"/>
    </row>
    <row r="169">
      <c r="A169" s="44"/>
      <c r="E169" s="45"/>
      <c r="G169" s="45"/>
      <c r="H169" s="45"/>
    </row>
    <row r="170">
      <c r="A170" s="44"/>
      <c r="E170" s="45"/>
      <c r="G170" s="45"/>
      <c r="H170" s="45"/>
    </row>
    <row r="171">
      <c r="A171" s="44"/>
      <c r="E171" s="45"/>
      <c r="G171" s="45"/>
      <c r="H171" s="45"/>
    </row>
    <row r="172">
      <c r="A172" s="44"/>
      <c r="E172" s="45"/>
      <c r="G172" s="45"/>
      <c r="H172" s="45"/>
    </row>
    <row r="173">
      <c r="A173" s="44"/>
      <c r="E173" s="45"/>
      <c r="G173" s="45"/>
      <c r="H173" s="45"/>
    </row>
    <row r="174">
      <c r="A174" s="44"/>
      <c r="E174" s="45"/>
      <c r="G174" s="45"/>
      <c r="H174" s="45"/>
    </row>
    <row r="175">
      <c r="A175" s="44"/>
      <c r="E175" s="45"/>
      <c r="G175" s="45"/>
      <c r="H175" s="45"/>
    </row>
    <row r="176">
      <c r="A176" s="44"/>
      <c r="E176" s="45"/>
      <c r="G176" s="45"/>
      <c r="H176" s="45"/>
    </row>
    <row r="177">
      <c r="A177" s="44"/>
      <c r="E177" s="45"/>
      <c r="G177" s="45"/>
      <c r="H177" s="45"/>
    </row>
    <row r="178">
      <c r="A178" s="44"/>
      <c r="E178" s="45"/>
      <c r="G178" s="45"/>
      <c r="H178" s="45"/>
    </row>
    <row r="179">
      <c r="A179" s="44"/>
      <c r="E179" s="45"/>
      <c r="G179" s="45"/>
      <c r="H179" s="45"/>
    </row>
    <row r="180">
      <c r="A180" s="44"/>
      <c r="E180" s="45"/>
      <c r="G180" s="45"/>
      <c r="H180" s="45"/>
    </row>
    <row r="181">
      <c r="A181" s="44"/>
      <c r="E181" s="45"/>
      <c r="G181" s="45"/>
      <c r="H181" s="45"/>
    </row>
    <row r="182">
      <c r="A182" s="44"/>
      <c r="E182" s="45"/>
      <c r="G182" s="45"/>
      <c r="H182" s="45"/>
    </row>
    <row r="183">
      <c r="A183" s="44"/>
      <c r="E183" s="45"/>
      <c r="G183" s="45"/>
      <c r="H183" s="45"/>
    </row>
    <row r="184">
      <c r="A184" s="44"/>
      <c r="E184" s="45"/>
      <c r="G184" s="45"/>
      <c r="H184" s="45"/>
    </row>
    <row r="185">
      <c r="A185" s="44"/>
      <c r="E185" s="45"/>
      <c r="G185" s="45"/>
      <c r="H185" s="45"/>
    </row>
    <row r="186">
      <c r="A186" s="44"/>
      <c r="E186" s="45"/>
      <c r="G186" s="45"/>
      <c r="H186" s="45"/>
    </row>
    <row r="187">
      <c r="A187" s="44"/>
      <c r="E187" s="45"/>
      <c r="G187" s="45"/>
      <c r="H187" s="45"/>
    </row>
    <row r="188">
      <c r="A188" s="44"/>
      <c r="E188" s="45"/>
      <c r="G188" s="45"/>
      <c r="H188" s="45"/>
    </row>
    <row r="189">
      <c r="A189" s="44"/>
      <c r="E189" s="45"/>
      <c r="G189" s="45"/>
      <c r="H189" s="45"/>
    </row>
    <row r="190">
      <c r="A190" s="44"/>
      <c r="E190" s="45"/>
      <c r="G190" s="45"/>
      <c r="H190" s="45"/>
    </row>
    <row r="191">
      <c r="A191" s="44"/>
      <c r="E191" s="45"/>
      <c r="G191" s="45"/>
      <c r="H191" s="45"/>
    </row>
    <row r="192">
      <c r="A192" s="44"/>
      <c r="E192" s="45"/>
      <c r="G192" s="45"/>
      <c r="H192" s="45"/>
    </row>
    <row r="193">
      <c r="A193" s="44"/>
      <c r="E193" s="45"/>
      <c r="G193" s="45"/>
      <c r="H193" s="45"/>
    </row>
    <row r="194">
      <c r="A194" s="44"/>
      <c r="E194" s="45"/>
      <c r="G194" s="45"/>
      <c r="H194" s="45"/>
    </row>
    <row r="195">
      <c r="A195" s="44"/>
      <c r="E195" s="45"/>
      <c r="G195" s="45"/>
      <c r="H195" s="45"/>
    </row>
    <row r="196">
      <c r="A196" s="44"/>
      <c r="E196" s="45"/>
      <c r="G196" s="45"/>
      <c r="H196" s="45"/>
    </row>
    <row r="197">
      <c r="A197" s="44"/>
      <c r="E197" s="45"/>
      <c r="G197" s="45"/>
      <c r="H197" s="45"/>
    </row>
    <row r="198">
      <c r="A198" s="44"/>
      <c r="E198" s="45"/>
      <c r="G198" s="45"/>
      <c r="H198" s="45"/>
    </row>
    <row r="199">
      <c r="A199" s="44"/>
      <c r="E199" s="45"/>
      <c r="G199" s="45"/>
      <c r="H199" s="45"/>
    </row>
    <row r="200">
      <c r="A200" s="44"/>
      <c r="E200" s="45"/>
      <c r="G200" s="45"/>
      <c r="H200" s="45"/>
    </row>
    <row r="201">
      <c r="A201" s="44"/>
      <c r="E201" s="45"/>
      <c r="G201" s="45"/>
      <c r="H201" s="45"/>
    </row>
    <row r="202">
      <c r="A202" s="44"/>
      <c r="E202" s="45"/>
      <c r="G202" s="45"/>
      <c r="H202" s="45"/>
    </row>
    <row r="203">
      <c r="A203" s="44"/>
      <c r="E203" s="45"/>
      <c r="G203" s="45"/>
      <c r="H203" s="45"/>
    </row>
    <row r="204">
      <c r="A204" s="44"/>
      <c r="E204" s="45"/>
      <c r="G204" s="45"/>
      <c r="H204" s="45"/>
    </row>
    <row r="205">
      <c r="A205" s="44"/>
      <c r="E205" s="45"/>
      <c r="G205" s="45"/>
      <c r="H205" s="45"/>
    </row>
    <row r="206">
      <c r="A206" s="44"/>
      <c r="E206" s="45"/>
      <c r="G206" s="45"/>
      <c r="H206" s="45"/>
    </row>
    <row r="207">
      <c r="A207" s="44"/>
      <c r="E207" s="45"/>
      <c r="G207" s="45"/>
      <c r="H207" s="45"/>
    </row>
    <row r="208">
      <c r="A208" s="44"/>
      <c r="E208" s="45"/>
      <c r="G208" s="45"/>
      <c r="H208" s="45"/>
    </row>
    <row r="209">
      <c r="A209" s="44"/>
      <c r="E209" s="45"/>
      <c r="G209" s="45"/>
      <c r="H209" s="45"/>
    </row>
    <row r="210">
      <c r="A210" s="44"/>
      <c r="E210" s="45"/>
      <c r="G210" s="45"/>
      <c r="H210" s="45"/>
    </row>
    <row r="211">
      <c r="A211" s="44"/>
      <c r="E211" s="45"/>
      <c r="G211" s="45"/>
      <c r="H211" s="45"/>
    </row>
    <row r="212">
      <c r="A212" s="44"/>
      <c r="E212" s="45"/>
      <c r="G212" s="45"/>
      <c r="H212" s="45"/>
    </row>
    <row r="213">
      <c r="A213" s="44"/>
      <c r="E213" s="45"/>
      <c r="G213" s="45"/>
      <c r="H213" s="45"/>
    </row>
    <row r="214">
      <c r="A214" s="44"/>
      <c r="E214" s="45"/>
      <c r="G214" s="45"/>
      <c r="H214" s="45"/>
    </row>
    <row r="215">
      <c r="A215" s="44"/>
      <c r="E215" s="45"/>
      <c r="G215" s="45"/>
      <c r="H215" s="45"/>
    </row>
    <row r="216">
      <c r="A216" s="44"/>
      <c r="E216" s="45"/>
      <c r="G216" s="45"/>
      <c r="H216" s="45"/>
    </row>
    <row r="217">
      <c r="A217" s="44"/>
      <c r="E217" s="45"/>
      <c r="G217" s="45"/>
      <c r="H217" s="45"/>
    </row>
    <row r="218">
      <c r="A218" s="44"/>
      <c r="E218" s="45"/>
      <c r="G218" s="45"/>
      <c r="H218" s="45"/>
    </row>
    <row r="219">
      <c r="A219" s="44"/>
      <c r="E219" s="45"/>
      <c r="G219" s="45"/>
      <c r="H219" s="45"/>
    </row>
    <row r="220">
      <c r="A220" s="44"/>
      <c r="E220" s="45"/>
      <c r="G220" s="45"/>
      <c r="H220" s="45"/>
    </row>
    <row r="221">
      <c r="A221" s="44"/>
      <c r="E221" s="45"/>
      <c r="G221" s="45"/>
      <c r="H221" s="45"/>
    </row>
    <row r="222">
      <c r="A222" s="44"/>
      <c r="E222" s="45"/>
      <c r="G222" s="45"/>
      <c r="H222" s="45"/>
    </row>
    <row r="223">
      <c r="A223" s="44"/>
      <c r="E223" s="45"/>
      <c r="G223" s="45"/>
      <c r="H223" s="45"/>
    </row>
    <row r="224">
      <c r="A224" s="44"/>
      <c r="E224" s="45"/>
      <c r="G224" s="45"/>
      <c r="H224" s="45"/>
    </row>
    <row r="225">
      <c r="A225" s="44"/>
      <c r="E225" s="45"/>
      <c r="G225" s="45"/>
      <c r="H225" s="45"/>
    </row>
    <row r="226">
      <c r="A226" s="44"/>
      <c r="E226" s="45"/>
      <c r="G226" s="45"/>
      <c r="H226" s="45"/>
    </row>
    <row r="227">
      <c r="A227" s="44"/>
      <c r="E227" s="45"/>
      <c r="G227" s="45"/>
      <c r="H227" s="45"/>
    </row>
    <row r="228">
      <c r="A228" s="44"/>
      <c r="E228" s="45"/>
      <c r="G228" s="45"/>
      <c r="H228" s="45"/>
    </row>
    <row r="229">
      <c r="A229" s="44"/>
      <c r="E229" s="45"/>
      <c r="G229" s="45"/>
      <c r="H229" s="45"/>
    </row>
    <row r="230">
      <c r="A230" s="44"/>
      <c r="E230" s="45"/>
      <c r="G230" s="45"/>
      <c r="H230" s="45"/>
    </row>
    <row r="231">
      <c r="A231" s="44"/>
      <c r="E231" s="45"/>
      <c r="G231" s="45"/>
      <c r="H231" s="45"/>
    </row>
    <row r="232">
      <c r="A232" s="44"/>
      <c r="E232" s="45"/>
      <c r="G232" s="45"/>
      <c r="H232" s="45"/>
    </row>
    <row r="233">
      <c r="A233" s="44"/>
      <c r="E233" s="45"/>
      <c r="G233" s="45"/>
      <c r="H233" s="45"/>
    </row>
    <row r="234">
      <c r="A234" s="44"/>
      <c r="E234" s="45"/>
      <c r="G234" s="45"/>
      <c r="H234" s="45"/>
    </row>
    <row r="235">
      <c r="A235" s="44"/>
      <c r="E235" s="45"/>
      <c r="G235" s="45"/>
      <c r="H235" s="45"/>
    </row>
    <row r="236">
      <c r="A236" s="44"/>
      <c r="E236" s="45"/>
      <c r="G236" s="45"/>
      <c r="H236" s="45"/>
    </row>
    <row r="237">
      <c r="A237" s="44"/>
      <c r="E237" s="45"/>
      <c r="G237" s="45"/>
      <c r="H237" s="45"/>
    </row>
    <row r="238">
      <c r="A238" s="44"/>
      <c r="E238" s="45"/>
      <c r="G238" s="45"/>
      <c r="H238" s="45"/>
    </row>
    <row r="239">
      <c r="A239" s="44"/>
      <c r="E239" s="45"/>
      <c r="G239" s="45"/>
      <c r="H239" s="45"/>
    </row>
    <row r="240">
      <c r="A240" s="44"/>
      <c r="E240" s="45"/>
      <c r="G240" s="45"/>
      <c r="H240" s="45"/>
    </row>
    <row r="241">
      <c r="A241" s="44"/>
      <c r="E241" s="45"/>
      <c r="G241" s="45"/>
      <c r="H241" s="45"/>
    </row>
    <row r="242">
      <c r="A242" s="44"/>
      <c r="E242" s="45"/>
      <c r="G242" s="45"/>
      <c r="H242" s="45"/>
    </row>
    <row r="243">
      <c r="A243" s="44"/>
      <c r="E243" s="45"/>
      <c r="G243" s="45"/>
      <c r="H243" s="45"/>
    </row>
    <row r="244">
      <c r="A244" s="44"/>
      <c r="E244" s="45"/>
      <c r="G244" s="45"/>
      <c r="H244" s="45"/>
    </row>
    <row r="245">
      <c r="A245" s="44"/>
      <c r="E245" s="45"/>
      <c r="G245" s="45"/>
      <c r="H245" s="45"/>
    </row>
    <row r="246">
      <c r="A246" s="44"/>
      <c r="E246" s="45"/>
      <c r="G246" s="45"/>
      <c r="H246" s="45"/>
    </row>
    <row r="247">
      <c r="A247" s="44"/>
      <c r="E247" s="45"/>
      <c r="G247" s="45"/>
      <c r="H247" s="45"/>
    </row>
    <row r="248">
      <c r="A248" s="44"/>
      <c r="E248" s="45"/>
      <c r="G248" s="45"/>
      <c r="H248" s="45"/>
    </row>
    <row r="249">
      <c r="A249" s="44"/>
      <c r="E249" s="45"/>
      <c r="G249" s="45"/>
      <c r="H249" s="45"/>
    </row>
    <row r="250">
      <c r="A250" s="44"/>
      <c r="E250" s="45"/>
      <c r="G250" s="45"/>
      <c r="H250" s="45"/>
    </row>
    <row r="251">
      <c r="A251" s="44"/>
      <c r="E251" s="45"/>
      <c r="G251" s="45"/>
      <c r="H251" s="45"/>
    </row>
    <row r="252">
      <c r="A252" s="44"/>
      <c r="E252" s="45"/>
      <c r="G252" s="45"/>
      <c r="H252" s="45"/>
    </row>
    <row r="253">
      <c r="A253" s="44"/>
      <c r="E253" s="45"/>
      <c r="G253" s="45"/>
      <c r="H253" s="45"/>
    </row>
    <row r="254">
      <c r="A254" s="44"/>
      <c r="E254" s="45"/>
      <c r="G254" s="45"/>
      <c r="H254" s="45"/>
    </row>
    <row r="255">
      <c r="A255" s="44"/>
      <c r="E255" s="45"/>
      <c r="G255" s="45"/>
      <c r="H255" s="45"/>
    </row>
    <row r="256">
      <c r="A256" s="44"/>
      <c r="E256" s="45"/>
      <c r="G256" s="45"/>
      <c r="H256" s="45"/>
    </row>
    <row r="257">
      <c r="A257" s="44"/>
      <c r="E257" s="45"/>
      <c r="G257" s="45"/>
      <c r="H257" s="45"/>
    </row>
    <row r="258">
      <c r="A258" s="44"/>
      <c r="E258" s="45"/>
      <c r="G258" s="45"/>
      <c r="H258" s="45"/>
    </row>
    <row r="259">
      <c r="A259" s="44"/>
      <c r="E259" s="45"/>
      <c r="G259" s="45"/>
      <c r="H259" s="45"/>
    </row>
    <row r="260">
      <c r="A260" s="44"/>
      <c r="E260" s="45"/>
      <c r="G260" s="45"/>
      <c r="H260" s="45"/>
    </row>
    <row r="261">
      <c r="A261" s="44"/>
      <c r="E261" s="45"/>
      <c r="G261" s="45"/>
      <c r="H261" s="45"/>
    </row>
    <row r="262">
      <c r="A262" s="44"/>
      <c r="E262" s="45"/>
      <c r="G262" s="45"/>
      <c r="H262" s="45"/>
    </row>
    <row r="263">
      <c r="A263" s="44"/>
      <c r="E263" s="45"/>
      <c r="G263" s="45"/>
      <c r="H263" s="45"/>
    </row>
    <row r="264">
      <c r="A264" s="44"/>
      <c r="E264" s="45"/>
      <c r="G264" s="45"/>
      <c r="H264" s="45"/>
    </row>
    <row r="265">
      <c r="A265" s="44"/>
      <c r="E265" s="45"/>
      <c r="G265" s="45"/>
      <c r="H265" s="45"/>
    </row>
    <row r="266">
      <c r="A266" s="44"/>
      <c r="E266" s="45"/>
      <c r="G266" s="45"/>
      <c r="H266" s="45"/>
    </row>
    <row r="267">
      <c r="A267" s="44"/>
      <c r="E267" s="45"/>
      <c r="G267" s="45"/>
      <c r="H267" s="45"/>
    </row>
    <row r="268">
      <c r="A268" s="44"/>
      <c r="E268" s="45"/>
      <c r="G268" s="45"/>
      <c r="H268" s="45"/>
    </row>
    <row r="269">
      <c r="A269" s="44"/>
      <c r="E269" s="45"/>
      <c r="G269" s="45"/>
      <c r="H269" s="45"/>
    </row>
    <row r="270">
      <c r="A270" s="44"/>
      <c r="E270" s="45"/>
      <c r="G270" s="45"/>
      <c r="H270" s="45"/>
    </row>
    <row r="271">
      <c r="A271" s="44"/>
      <c r="E271" s="45"/>
      <c r="G271" s="45"/>
      <c r="H271" s="45"/>
    </row>
    <row r="272">
      <c r="A272" s="44"/>
      <c r="E272" s="45"/>
      <c r="G272" s="45"/>
      <c r="H272" s="45"/>
    </row>
    <row r="273">
      <c r="A273" s="44"/>
      <c r="E273" s="45"/>
      <c r="G273" s="45"/>
      <c r="H273" s="45"/>
    </row>
    <row r="274">
      <c r="A274" s="44"/>
      <c r="E274" s="45"/>
      <c r="G274" s="45"/>
      <c r="H274" s="45"/>
    </row>
    <row r="275">
      <c r="A275" s="44"/>
      <c r="E275" s="45"/>
      <c r="G275" s="45"/>
      <c r="H275" s="45"/>
    </row>
    <row r="276">
      <c r="A276" s="44"/>
      <c r="E276" s="45"/>
      <c r="G276" s="45"/>
      <c r="H276" s="45"/>
    </row>
    <row r="277">
      <c r="A277" s="44"/>
      <c r="E277" s="45"/>
      <c r="G277" s="45"/>
      <c r="H277" s="45"/>
    </row>
    <row r="278">
      <c r="A278" s="44"/>
      <c r="E278" s="45"/>
      <c r="G278" s="45"/>
      <c r="H278" s="45"/>
    </row>
    <row r="279">
      <c r="A279" s="44"/>
      <c r="E279" s="45"/>
      <c r="G279" s="45"/>
      <c r="H279" s="45"/>
    </row>
    <row r="280">
      <c r="A280" s="44"/>
      <c r="E280" s="45"/>
      <c r="G280" s="45"/>
      <c r="H280" s="45"/>
    </row>
    <row r="281">
      <c r="A281" s="44"/>
      <c r="E281" s="45"/>
      <c r="G281" s="45"/>
      <c r="H281" s="45"/>
    </row>
    <row r="282">
      <c r="A282" s="44"/>
      <c r="E282" s="45"/>
      <c r="G282" s="45"/>
      <c r="H282" s="45"/>
    </row>
    <row r="283">
      <c r="A283" s="44"/>
      <c r="E283" s="45"/>
      <c r="G283" s="45"/>
      <c r="H283" s="45"/>
    </row>
    <row r="284">
      <c r="A284" s="44"/>
      <c r="E284" s="45"/>
      <c r="G284" s="45"/>
      <c r="H284" s="45"/>
    </row>
    <row r="285">
      <c r="A285" s="44"/>
      <c r="E285" s="45"/>
      <c r="G285" s="45"/>
      <c r="H285" s="45"/>
    </row>
    <row r="286">
      <c r="A286" s="44"/>
      <c r="E286" s="45"/>
      <c r="G286" s="45"/>
      <c r="H286" s="45"/>
    </row>
    <row r="287">
      <c r="A287" s="44"/>
      <c r="E287" s="45"/>
      <c r="G287" s="45"/>
      <c r="H287" s="45"/>
    </row>
    <row r="288">
      <c r="A288" s="44"/>
      <c r="E288" s="45"/>
      <c r="G288" s="45"/>
      <c r="H288" s="45"/>
    </row>
    <row r="289">
      <c r="A289" s="44"/>
      <c r="E289" s="45"/>
      <c r="G289" s="45"/>
      <c r="H289" s="45"/>
    </row>
    <row r="290">
      <c r="A290" s="44"/>
      <c r="E290" s="45"/>
      <c r="G290" s="45"/>
      <c r="H290" s="45"/>
    </row>
    <row r="291">
      <c r="A291" s="44"/>
      <c r="E291" s="45"/>
      <c r="G291" s="45"/>
      <c r="H291" s="45"/>
    </row>
    <row r="292">
      <c r="A292" s="44"/>
      <c r="E292" s="45"/>
      <c r="G292" s="45"/>
      <c r="H292" s="45"/>
    </row>
    <row r="293">
      <c r="A293" s="44"/>
      <c r="E293" s="45"/>
      <c r="G293" s="45"/>
      <c r="H293" s="45"/>
    </row>
    <row r="294">
      <c r="A294" s="44"/>
      <c r="E294" s="45"/>
      <c r="G294" s="45"/>
      <c r="H294" s="45"/>
    </row>
    <row r="295">
      <c r="A295" s="44"/>
      <c r="E295" s="45"/>
      <c r="G295" s="45"/>
      <c r="H295" s="45"/>
    </row>
    <row r="296">
      <c r="A296" s="44"/>
      <c r="E296" s="45"/>
      <c r="G296" s="45"/>
      <c r="H296" s="45"/>
    </row>
    <row r="297">
      <c r="A297" s="44"/>
      <c r="E297" s="45"/>
      <c r="G297" s="45"/>
      <c r="H297" s="45"/>
    </row>
    <row r="298">
      <c r="A298" s="44"/>
      <c r="E298" s="45"/>
      <c r="G298" s="45"/>
      <c r="H298" s="45"/>
    </row>
    <row r="299">
      <c r="A299" s="44"/>
      <c r="E299" s="45"/>
      <c r="G299" s="45"/>
      <c r="H299" s="45"/>
    </row>
    <row r="300">
      <c r="A300" s="44"/>
      <c r="E300" s="45"/>
      <c r="G300" s="45"/>
      <c r="H300" s="45"/>
    </row>
    <row r="301">
      <c r="A301" s="44"/>
      <c r="E301" s="45"/>
      <c r="G301" s="45"/>
      <c r="H301" s="45"/>
    </row>
    <row r="302">
      <c r="A302" s="44"/>
      <c r="E302" s="45"/>
      <c r="G302" s="45"/>
      <c r="H302" s="45"/>
    </row>
    <row r="303">
      <c r="A303" s="44"/>
      <c r="E303" s="45"/>
      <c r="G303" s="45"/>
      <c r="H303" s="45"/>
    </row>
    <row r="304">
      <c r="A304" s="44"/>
      <c r="E304" s="45"/>
      <c r="G304" s="45"/>
      <c r="H304" s="45"/>
    </row>
    <row r="305">
      <c r="A305" s="44"/>
      <c r="E305" s="45"/>
      <c r="G305" s="45"/>
      <c r="H305" s="45"/>
    </row>
    <row r="306">
      <c r="A306" s="44"/>
      <c r="E306" s="45"/>
      <c r="G306" s="45"/>
      <c r="H306" s="45"/>
    </row>
    <row r="307">
      <c r="A307" s="44"/>
      <c r="E307" s="45"/>
      <c r="G307" s="45"/>
      <c r="H307" s="45"/>
    </row>
    <row r="308">
      <c r="A308" s="44"/>
      <c r="E308" s="45"/>
      <c r="G308" s="45"/>
      <c r="H308" s="45"/>
    </row>
    <row r="309">
      <c r="A309" s="44"/>
      <c r="E309" s="45"/>
      <c r="G309" s="45"/>
      <c r="H309" s="45"/>
    </row>
    <row r="310">
      <c r="A310" s="44"/>
      <c r="E310" s="45"/>
      <c r="G310" s="45"/>
      <c r="H310" s="45"/>
    </row>
    <row r="311">
      <c r="A311" s="44"/>
      <c r="E311" s="45"/>
      <c r="G311" s="45"/>
      <c r="H311" s="45"/>
    </row>
    <row r="312">
      <c r="A312" s="44"/>
      <c r="E312" s="45"/>
      <c r="G312" s="45"/>
      <c r="H312" s="45"/>
    </row>
    <row r="313">
      <c r="A313" s="44"/>
      <c r="E313" s="45"/>
      <c r="G313" s="45"/>
      <c r="H313" s="45"/>
    </row>
    <row r="314">
      <c r="A314" s="44"/>
      <c r="E314" s="45"/>
      <c r="G314" s="45"/>
      <c r="H314" s="45"/>
    </row>
    <row r="315">
      <c r="A315" s="44"/>
      <c r="E315" s="45"/>
      <c r="G315" s="45"/>
      <c r="H315" s="45"/>
    </row>
    <row r="316">
      <c r="A316" s="44"/>
      <c r="E316" s="45"/>
      <c r="G316" s="45"/>
      <c r="H316" s="45"/>
    </row>
    <row r="317">
      <c r="A317" s="44"/>
      <c r="E317" s="45"/>
      <c r="G317" s="45"/>
      <c r="H317" s="45"/>
    </row>
    <row r="318">
      <c r="A318" s="44"/>
      <c r="E318" s="45"/>
      <c r="G318" s="45"/>
      <c r="H318" s="45"/>
    </row>
    <row r="319">
      <c r="A319" s="44"/>
      <c r="E319" s="45"/>
      <c r="G319" s="45"/>
      <c r="H319" s="45"/>
    </row>
    <row r="320">
      <c r="A320" s="44"/>
      <c r="E320" s="45"/>
      <c r="G320" s="45"/>
      <c r="H320" s="45"/>
    </row>
    <row r="321">
      <c r="A321" s="44"/>
      <c r="E321" s="45"/>
      <c r="G321" s="45"/>
      <c r="H321" s="45"/>
    </row>
    <row r="322">
      <c r="A322" s="44"/>
      <c r="E322" s="45"/>
      <c r="G322" s="45"/>
      <c r="H322" s="45"/>
    </row>
    <row r="323">
      <c r="A323" s="44"/>
      <c r="E323" s="45"/>
      <c r="G323" s="45"/>
      <c r="H323" s="45"/>
    </row>
    <row r="324">
      <c r="A324" s="44"/>
      <c r="E324" s="45"/>
      <c r="G324" s="45"/>
      <c r="H324" s="45"/>
    </row>
    <row r="325">
      <c r="A325" s="44"/>
      <c r="E325" s="45"/>
      <c r="G325" s="45"/>
      <c r="H325" s="45"/>
    </row>
    <row r="326">
      <c r="A326" s="44"/>
      <c r="E326" s="45"/>
      <c r="G326" s="45"/>
      <c r="H326" s="45"/>
    </row>
    <row r="327">
      <c r="A327" s="44"/>
      <c r="E327" s="45"/>
      <c r="G327" s="45"/>
      <c r="H327" s="45"/>
    </row>
    <row r="328">
      <c r="A328" s="44"/>
      <c r="E328" s="45"/>
      <c r="G328" s="45"/>
      <c r="H328" s="45"/>
    </row>
    <row r="329">
      <c r="A329" s="44"/>
      <c r="E329" s="45"/>
      <c r="G329" s="45"/>
      <c r="H329" s="45"/>
    </row>
    <row r="330">
      <c r="A330" s="44"/>
      <c r="E330" s="45"/>
      <c r="G330" s="45"/>
      <c r="H330" s="45"/>
    </row>
    <row r="331">
      <c r="A331" s="44"/>
      <c r="E331" s="45"/>
      <c r="G331" s="45"/>
      <c r="H331" s="45"/>
    </row>
    <row r="332">
      <c r="A332" s="44"/>
      <c r="E332" s="45"/>
      <c r="G332" s="45"/>
      <c r="H332" s="45"/>
    </row>
    <row r="333">
      <c r="A333" s="44"/>
      <c r="E333" s="45"/>
      <c r="G333" s="45"/>
      <c r="H333" s="45"/>
    </row>
    <row r="334">
      <c r="A334" s="44"/>
      <c r="E334" s="45"/>
      <c r="G334" s="45"/>
      <c r="H334" s="45"/>
    </row>
    <row r="335">
      <c r="A335" s="44"/>
      <c r="E335" s="45"/>
      <c r="G335" s="45"/>
      <c r="H335" s="45"/>
    </row>
    <row r="336">
      <c r="A336" s="44"/>
      <c r="E336" s="45"/>
      <c r="G336" s="45"/>
      <c r="H336" s="45"/>
    </row>
    <row r="337">
      <c r="A337" s="44"/>
      <c r="E337" s="45"/>
      <c r="G337" s="45"/>
      <c r="H337" s="45"/>
    </row>
    <row r="338">
      <c r="A338" s="44"/>
      <c r="E338" s="45"/>
      <c r="G338" s="45"/>
      <c r="H338" s="45"/>
    </row>
    <row r="339">
      <c r="A339" s="44"/>
      <c r="E339" s="45"/>
      <c r="G339" s="45"/>
      <c r="H339" s="45"/>
    </row>
    <row r="340">
      <c r="A340" s="44"/>
      <c r="E340" s="45"/>
      <c r="G340" s="45"/>
      <c r="H340" s="45"/>
    </row>
    <row r="341">
      <c r="A341" s="44"/>
      <c r="E341" s="45"/>
      <c r="G341" s="45"/>
      <c r="H341" s="45"/>
    </row>
    <row r="342">
      <c r="A342" s="44"/>
      <c r="E342" s="45"/>
      <c r="G342" s="45"/>
      <c r="H342" s="45"/>
    </row>
    <row r="343">
      <c r="A343" s="44"/>
      <c r="E343" s="45"/>
      <c r="G343" s="45"/>
      <c r="H343" s="45"/>
    </row>
    <row r="344">
      <c r="A344" s="44"/>
      <c r="E344" s="45"/>
      <c r="G344" s="45"/>
      <c r="H344" s="45"/>
    </row>
    <row r="345">
      <c r="A345" s="44"/>
      <c r="E345" s="45"/>
      <c r="G345" s="45"/>
      <c r="H345" s="45"/>
    </row>
    <row r="346">
      <c r="A346" s="44"/>
      <c r="E346" s="45"/>
      <c r="G346" s="45"/>
      <c r="H346" s="45"/>
    </row>
    <row r="347">
      <c r="A347" s="44"/>
      <c r="E347" s="45"/>
      <c r="G347" s="45"/>
      <c r="H347" s="45"/>
    </row>
    <row r="348">
      <c r="A348" s="44"/>
      <c r="E348" s="45"/>
      <c r="G348" s="45"/>
      <c r="H348" s="45"/>
    </row>
    <row r="349">
      <c r="A349" s="44"/>
      <c r="E349" s="45"/>
      <c r="G349" s="45"/>
      <c r="H349" s="45"/>
    </row>
    <row r="350">
      <c r="A350" s="44"/>
      <c r="E350" s="45"/>
      <c r="G350" s="45"/>
      <c r="H350" s="45"/>
    </row>
    <row r="351">
      <c r="A351" s="44"/>
      <c r="E351" s="45"/>
      <c r="G351" s="45"/>
      <c r="H351" s="45"/>
    </row>
    <row r="352">
      <c r="A352" s="44"/>
      <c r="E352" s="45"/>
      <c r="G352" s="45"/>
      <c r="H352" s="45"/>
    </row>
    <row r="353">
      <c r="A353" s="44"/>
      <c r="E353" s="45"/>
      <c r="G353" s="45"/>
      <c r="H353" s="45"/>
    </row>
    <row r="354">
      <c r="A354" s="44"/>
      <c r="E354" s="45"/>
      <c r="G354" s="45"/>
      <c r="H354" s="45"/>
    </row>
    <row r="355">
      <c r="A355" s="44"/>
      <c r="E355" s="45"/>
      <c r="G355" s="45"/>
      <c r="H355" s="45"/>
    </row>
    <row r="356">
      <c r="A356" s="44"/>
      <c r="E356" s="45"/>
      <c r="G356" s="45"/>
      <c r="H356" s="45"/>
    </row>
    <row r="357">
      <c r="A357" s="44"/>
      <c r="E357" s="45"/>
      <c r="G357" s="45"/>
      <c r="H357" s="45"/>
    </row>
    <row r="358">
      <c r="A358" s="44"/>
      <c r="E358" s="45"/>
      <c r="G358" s="45"/>
      <c r="H358" s="45"/>
    </row>
    <row r="359">
      <c r="A359" s="44"/>
      <c r="E359" s="45"/>
      <c r="G359" s="45"/>
      <c r="H359" s="45"/>
    </row>
    <row r="360">
      <c r="A360" s="44"/>
      <c r="E360" s="45"/>
      <c r="G360" s="45"/>
      <c r="H360" s="45"/>
    </row>
    <row r="361">
      <c r="A361" s="44"/>
      <c r="E361" s="45"/>
      <c r="G361" s="45"/>
      <c r="H361" s="45"/>
    </row>
    <row r="362">
      <c r="A362" s="44"/>
      <c r="E362" s="45"/>
      <c r="G362" s="45"/>
      <c r="H362" s="45"/>
    </row>
    <row r="363">
      <c r="A363" s="44"/>
      <c r="E363" s="45"/>
      <c r="G363" s="45"/>
      <c r="H363" s="45"/>
    </row>
    <row r="364">
      <c r="A364" s="44"/>
      <c r="E364" s="45"/>
      <c r="G364" s="45"/>
      <c r="H364" s="45"/>
    </row>
    <row r="365">
      <c r="A365" s="44"/>
      <c r="E365" s="45"/>
      <c r="G365" s="45"/>
      <c r="H365" s="45"/>
    </row>
    <row r="366">
      <c r="A366" s="44"/>
      <c r="E366" s="45"/>
      <c r="G366" s="45"/>
      <c r="H366" s="45"/>
    </row>
    <row r="367">
      <c r="A367" s="44"/>
      <c r="E367" s="45"/>
      <c r="G367" s="45"/>
      <c r="H367" s="45"/>
    </row>
    <row r="368">
      <c r="A368" s="44"/>
      <c r="E368" s="45"/>
      <c r="G368" s="45"/>
      <c r="H368" s="45"/>
    </row>
    <row r="369">
      <c r="A369" s="44"/>
      <c r="E369" s="45"/>
      <c r="G369" s="45"/>
      <c r="H369" s="45"/>
    </row>
    <row r="370">
      <c r="A370" s="44"/>
      <c r="E370" s="45"/>
      <c r="G370" s="45"/>
      <c r="H370" s="45"/>
    </row>
    <row r="371">
      <c r="A371" s="44"/>
      <c r="E371" s="45"/>
      <c r="G371" s="45"/>
      <c r="H371" s="45"/>
    </row>
    <row r="372">
      <c r="A372" s="44"/>
      <c r="E372" s="45"/>
      <c r="G372" s="45"/>
      <c r="H372" s="45"/>
    </row>
    <row r="373">
      <c r="A373" s="44"/>
      <c r="E373" s="45"/>
      <c r="G373" s="45"/>
      <c r="H373" s="45"/>
    </row>
    <row r="374">
      <c r="A374" s="44"/>
      <c r="E374" s="45"/>
      <c r="G374" s="45"/>
      <c r="H374" s="45"/>
    </row>
    <row r="375">
      <c r="A375" s="44"/>
      <c r="E375" s="45"/>
      <c r="G375" s="45"/>
      <c r="H375" s="45"/>
    </row>
    <row r="376">
      <c r="A376" s="44"/>
      <c r="E376" s="45"/>
      <c r="G376" s="45"/>
      <c r="H376" s="45"/>
    </row>
    <row r="377">
      <c r="A377" s="44"/>
      <c r="E377" s="45"/>
      <c r="G377" s="45"/>
      <c r="H377" s="45"/>
    </row>
    <row r="378">
      <c r="A378" s="44"/>
      <c r="E378" s="45"/>
      <c r="G378" s="45"/>
      <c r="H378" s="45"/>
    </row>
    <row r="379">
      <c r="A379" s="44"/>
      <c r="E379" s="45"/>
      <c r="G379" s="45"/>
      <c r="H379" s="45"/>
    </row>
    <row r="380">
      <c r="A380" s="44"/>
      <c r="E380" s="45"/>
      <c r="G380" s="45"/>
      <c r="H380" s="45"/>
    </row>
    <row r="381">
      <c r="A381" s="44"/>
      <c r="E381" s="45"/>
      <c r="G381" s="45"/>
      <c r="H381" s="45"/>
    </row>
    <row r="382">
      <c r="A382" s="44"/>
      <c r="E382" s="45"/>
      <c r="G382" s="45"/>
      <c r="H382" s="45"/>
    </row>
    <row r="383">
      <c r="A383" s="44"/>
      <c r="E383" s="45"/>
      <c r="G383" s="45"/>
      <c r="H383" s="45"/>
    </row>
    <row r="384">
      <c r="A384" s="44"/>
      <c r="E384" s="45"/>
      <c r="G384" s="45"/>
      <c r="H384" s="45"/>
    </row>
    <row r="385">
      <c r="A385" s="44"/>
      <c r="E385" s="45"/>
      <c r="G385" s="45"/>
      <c r="H385" s="45"/>
    </row>
    <row r="386">
      <c r="A386" s="44"/>
      <c r="E386" s="45"/>
      <c r="G386" s="45"/>
      <c r="H386" s="45"/>
    </row>
    <row r="387">
      <c r="A387" s="44"/>
      <c r="E387" s="45"/>
      <c r="G387" s="45"/>
      <c r="H387" s="45"/>
    </row>
    <row r="388">
      <c r="A388" s="44"/>
      <c r="E388" s="45"/>
      <c r="G388" s="45"/>
      <c r="H388" s="45"/>
    </row>
    <row r="389">
      <c r="A389" s="44"/>
      <c r="E389" s="45"/>
      <c r="G389" s="45"/>
      <c r="H389" s="45"/>
    </row>
    <row r="390">
      <c r="A390" s="44"/>
      <c r="E390" s="45"/>
      <c r="G390" s="45"/>
      <c r="H390" s="45"/>
    </row>
    <row r="391">
      <c r="A391" s="44"/>
      <c r="E391" s="45"/>
      <c r="G391" s="45"/>
      <c r="H391" s="45"/>
    </row>
    <row r="392">
      <c r="A392" s="44"/>
      <c r="E392" s="45"/>
      <c r="G392" s="45"/>
      <c r="H392" s="45"/>
    </row>
    <row r="393">
      <c r="A393" s="44"/>
      <c r="E393" s="45"/>
      <c r="G393" s="45"/>
      <c r="H393" s="45"/>
    </row>
    <row r="394">
      <c r="A394" s="44"/>
      <c r="E394" s="45"/>
      <c r="G394" s="45"/>
      <c r="H394" s="45"/>
    </row>
    <row r="395">
      <c r="A395" s="44"/>
      <c r="E395" s="45"/>
      <c r="G395" s="45"/>
      <c r="H395" s="45"/>
    </row>
    <row r="396">
      <c r="A396" s="44"/>
      <c r="E396" s="45"/>
      <c r="G396" s="45"/>
      <c r="H396" s="45"/>
    </row>
    <row r="397">
      <c r="A397" s="44"/>
      <c r="E397" s="45"/>
      <c r="G397" s="45"/>
      <c r="H397" s="45"/>
    </row>
    <row r="398">
      <c r="A398" s="44"/>
      <c r="E398" s="45"/>
      <c r="G398" s="45"/>
      <c r="H398" s="45"/>
    </row>
    <row r="399">
      <c r="A399" s="44"/>
      <c r="E399" s="45"/>
      <c r="G399" s="45"/>
      <c r="H399" s="45"/>
    </row>
    <row r="400">
      <c r="A400" s="44"/>
      <c r="E400" s="45"/>
      <c r="G400" s="45"/>
      <c r="H400" s="45"/>
    </row>
    <row r="401">
      <c r="A401" s="44"/>
      <c r="E401" s="45"/>
      <c r="G401" s="45"/>
      <c r="H401" s="45"/>
    </row>
    <row r="402">
      <c r="A402" s="44"/>
      <c r="E402" s="45"/>
      <c r="G402" s="45"/>
      <c r="H402" s="45"/>
    </row>
    <row r="403">
      <c r="A403" s="44"/>
      <c r="E403" s="45"/>
      <c r="G403" s="45"/>
      <c r="H403" s="45"/>
    </row>
    <row r="404">
      <c r="A404" s="44"/>
      <c r="E404" s="45"/>
      <c r="G404" s="45"/>
      <c r="H404" s="45"/>
    </row>
    <row r="405">
      <c r="A405" s="44"/>
      <c r="E405" s="45"/>
      <c r="G405" s="45"/>
      <c r="H405" s="45"/>
    </row>
    <row r="406">
      <c r="A406" s="44"/>
      <c r="E406" s="45"/>
      <c r="G406" s="45"/>
      <c r="H406" s="45"/>
    </row>
    <row r="407">
      <c r="A407" s="44"/>
      <c r="E407" s="45"/>
      <c r="G407" s="45"/>
      <c r="H407" s="45"/>
    </row>
    <row r="408">
      <c r="A408" s="44"/>
      <c r="E408" s="45"/>
      <c r="G408" s="45"/>
      <c r="H408" s="45"/>
    </row>
    <row r="409">
      <c r="A409" s="44"/>
      <c r="E409" s="45"/>
      <c r="G409" s="45"/>
      <c r="H409" s="45"/>
    </row>
    <row r="410">
      <c r="A410" s="44"/>
      <c r="E410" s="45"/>
      <c r="G410" s="45"/>
      <c r="H410" s="45"/>
    </row>
    <row r="411">
      <c r="A411" s="44"/>
      <c r="E411" s="45"/>
      <c r="G411" s="45"/>
      <c r="H411" s="45"/>
    </row>
    <row r="412">
      <c r="A412" s="44"/>
      <c r="E412" s="45"/>
      <c r="G412" s="45"/>
      <c r="H412" s="45"/>
    </row>
    <row r="413">
      <c r="A413" s="44"/>
      <c r="E413" s="45"/>
      <c r="G413" s="45"/>
      <c r="H413" s="45"/>
    </row>
    <row r="414">
      <c r="A414" s="44"/>
      <c r="E414" s="45"/>
      <c r="G414" s="45"/>
      <c r="H414" s="45"/>
    </row>
    <row r="415">
      <c r="A415" s="44"/>
      <c r="E415" s="45"/>
      <c r="G415" s="45"/>
      <c r="H415" s="45"/>
    </row>
    <row r="416">
      <c r="A416" s="44"/>
      <c r="E416" s="45"/>
      <c r="G416" s="45"/>
      <c r="H416" s="45"/>
    </row>
    <row r="417">
      <c r="A417" s="44"/>
      <c r="E417" s="45"/>
      <c r="G417" s="45"/>
      <c r="H417" s="45"/>
    </row>
    <row r="418">
      <c r="A418" s="44"/>
      <c r="E418" s="45"/>
      <c r="G418" s="45"/>
      <c r="H418" s="45"/>
    </row>
    <row r="419">
      <c r="A419" s="44"/>
      <c r="E419" s="45"/>
      <c r="G419" s="45"/>
      <c r="H419" s="45"/>
    </row>
    <row r="420">
      <c r="A420" s="44"/>
      <c r="E420" s="45"/>
      <c r="G420" s="45"/>
      <c r="H420" s="45"/>
    </row>
    <row r="421">
      <c r="A421" s="44"/>
      <c r="E421" s="45"/>
      <c r="G421" s="45"/>
      <c r="H421" s="45"/>
    </row>
    <row r="422">
      <c r="A422" s="44"/>
      <c r="E422" s="45"/>
      <c r="G422" s="45"/>
      <c r="H422" s="45"/>
    </row>
    <row r="423">
      <c r="A423" s="44"/>
      <c r="E423" s="45"/>
      <c r="G423" s="45"/>
      <c r="H423" s="45"/>
    </row>
    <row r="424">
      <c r="A424" s="44"/>
      <c r="E424" s="45"/>
      <c r="G424" s="45"/>
      <c r="H424" s="45"/>
    </row>
    <row r="425">
      <c r="A425" s="44"/>
      <c r="E425" s="45"/>
      <c r="G425" s="45"/>
      <c r="H425" s="45"/>
    </row>
    <row r="426">
      <c r="A426" s="44"/>
      <c r="E426" s="45"/>
      <c r="G426" s="45"/>
      <c r="H426" s="45"/>
    </row>
    <row r="427">
      <c r="A427" s="44"/>
      <c r="E427" s="45"/>
      <c r="G427" s="45"/>
      <c r="H427" s="45"/>
    </row>
    <row r="428">
      <c r="A428" s="44"/>
      <c r="E428" s="45"/>
      <c r="G428" s="45"/>
      <c r="H428" s="45"/>
    </row>
    <row r="429">
      <c r="A429" s="44"/>
      <c r="E429" s="45"/>
      <c r="G429" s="45"/>
      <c r="H429" s="45"/>
    </row>
    <row r="430">
      <c r="A430" s="44"/>
      <c r="E430" s="45"/>
      <c r="G430" s="45"/>
      <c r="H430" s="45"/>
    </row>
    <row r="431">
      <c r="A431" s="44"/>
      <c r="E431" s="45"/>
      <c r="G431" s="45"/>
      <c r="H431" s="45"/>
    </row>
    <row r="432">
      <c r="A432" s="44"/>
      <c r="E432" s="45"/>
      <c r="G432" s="45"/>
      <c r="H432" s="45"/>
    </row>
    <row r="433">
      <c r="A433" s="44"/>
      <c r="E433" s="45"/>
      <c r="G433" s="45"/>
      <c r="H433" s="45"/>
    </row>
    <row r="434">
      <c r="A434" s="44"/>
      <c r="E434" s="45"/>
      <c r="G434" s="45"/>
      <c r="H434" s="45"/>
    </row>
    <row r="435">
      <c r="A435" s="44"/>
      <c r="E435" s="45"/>
      <c r="G435" s="45"/>
      <c r="H435" s="45"/>
    </row>
    <row r="436">
      <c r="A436" s="44"/>
      <c r="E436" s="45"/>
      <c r="G436" s="45"/>
      <c r="H436" s="45"/>
    </row>
    <row r="437">
      <c r="A437" s="44"/>
      <c r="E437" s="45"/>
      <c r="G437" s="45"/>
      <c r="H437" s="45"/>
    </row>
    <row r="438">
      <c r="A438" s="44"/>
      <c r="E438" s="45"/>
      <c r="G438" s="45"/>
      <c r="H438" s="45"/>
    </row>
    <row r="439">
      <c r="A439" s="44"/>
      <c r="E439" s="45"/>
      <c r="G439" s="45"/>
      <c r="H439" s="45"/>
    </row>
    <row r="440">
      <c r="A440" s="44"/>
      <c r="E440" s="45"/>
      <c r="G440" s="45"/>
      <c r="H440" s="45"/>
    </row>
    <row r="441">
      <c r="A441" s="44"/>
      <c r="E441" s="45"/>
      <c r="G441" s="45"/>
      <c r="H441" s="45"/>
    </row>
    <row r="442">
      <c r="A442" s="44"/>
      <c r="E442" s="45"/>
      <c r="G442" s="45"/>
      <c r="H442" s="45"/>
    </row>
    <row r="443">
      <c r="A443" s="44"/>
      <c r="E443" s="45"/>
      <c r="G443" s="45"/>
      <c r="H443" s="45"/>
    </row>
    <row r="444">
      <c r="A444" s="44"/>
      <c r="E444" s="45"/>
      <c r="G444" s="45"/>
      <c r="H444" s="45"/>
    </row>
    <row r="445">
      <c r="A445" s="44"/>
      <c r="E445" s="45"/>
      <c r="G445" s="45"/>
      <c r="H445" s="45"/>
    </row>
    <row r="446">
      <c r="A446" s="44"/>
      <c r="E446" s="45"/>
      <c r="G446" s="45"/>
      <c r="H446" s="45"/>
    </row>
    <row r="447">
      <c r="A447" s="44"/>
      <c r="E447" s="45"/>
      <c r="G447" s="45"/>
      <c r="H447" s="45"/>
    </row>
    <row r="448">
      <c r="A448" s="44"/>
      <c r="E448" s="45"/>
      <c r="G448" s="45"/>
      <c r="H448" s="45"/>
    </row>
    <row r="449">
      <c r="A449" s="44"/>
      <c r="E449" s="45"/>
      <c r="G449" s="45"/>
      <c r="H449" s="45"/>
    </row>
    <row r="450">
      <c r="A450" s="44"/>
      <c r="E450" s="45"/>
      <c r="G450" s="45"/>
      <c r="H450" s="45"/>
    </row>
    <row r="451">
      <c r="A451" s="44"/>
      <c r="E451" s="45"/>
      <c r="G451" s="45"/>
      <c r="H451" s="45"/>
    </row>
    <row r="452">
      <c r="A452" s="44"/>
      <c r="E452" s="45"/>
      <c r="G452" s="45"/>
      <c r="H452" s="45"/>
    </row>
    <row r="453">
      <c r="A453" s="44"/>
      <c r="E453" s="45"/>
      <c r="G453" s="45"/>
      <c r="H453" s="45"/>
    </row>
    <row r="454">
      <c r="A454" s="44"/>
      <c r="E454" s="45"/>
      <c r="G454" s="45"/>
      <c r="H454" s="45"/>
    </row>
    <row r="455">
      <c r="A455" s="44"/>
      <c r="E455" s="45"/>
      <c r="G455" s="45"/>
      <c r="H455" s="45"/>
    </row>
    <row r="456">
      <c r="A456" s="44"/>
      <c r="E456" s="45"/>
      <c r="G456" s="45"/>
      <c r="H456" s="45"/>
    </row>
    <row r="457">
      <c r="A457" s="44"/>
      <c r="E457" s="45"/>
      <c r="G457" s="45"/>
      <c r="H457" s="45"/>
    </row>
    <row r="458">
      <c r="A458" s="44"/>
      <c r="E458" s="45"/>
      <c r="G458" s="45"/>
      <c r="H458" s="45"/>
    </row>
    <row r="459">
      <c r="A459" s="44"/>
      <c r="E459" s="45"/>
      <c r="G459" s="45"/>
      <c r="H459" s="45"/>
    </row>
    <row r="460">
      <c r="A460" s="44"/>
      <c r="E460" s="45"/>
      <c r="G460" s="45"/>
      <c r="H460" s="45"/>
    </row>
    <row r="461">
      <c r="A461" s="44"/>
      <c r="E461" s="45"/>
      <c r="G461" s="45"/>
      <c r="H461" s="45"/>
    </row>
    <row r="462">
      <c r="A462" s="44"/>
      <c r="E462" s="45"/>
      <c r="G462" s="45"/>
      <c r="H462" s="45"/>
    </row>
    <row r="463">
      <c r="A463" s="44"/>
      <c r="E463" s="45"/>
      <c r="G463" s="45"/>
      <c r="H463" s="45"/>
    </row>
    <row r="464">
      <c r="A464" s="44"/>
      <c r="E464" s="45"/>
      <c r="G464" s="45"/>
      <c r="H464" s="45"/>
    </row>
    <row r="465">
      <c r="A465" s="44"/>
      <c r="E465" s="45"/>
      <c r="G465" s="45"/>
      <c r="H465" s="45"/>
    </row>
    <row r="466">
      <c r="A466" s="44"/>
      <c r="E466" s="45"/>
      <c r="G466" s="45"/>
      <c r="H466" s="45"/>
    </row>
    <row r="467">
      <c r="A467" s="44"/>
      <c r="E467" s="45"/>
      <c r="G467" s="45"/>
      <c r="H467" s="45"/>
    </row>
    <row r="468">
      <c r="A468" s="44"/>
      <c r="E468" s="45"/>
      <c r="G468" s="45"/>
      <c r="H468" s="45"/>
    </row>
    <row r="469">
      <c r="A469" s="44"/>
      <c r="E469" s="45"/>
      <c r="G469" s="45"/>
      <c r="H469" s="45"/>
    </row>
    <row r="470">
      <c r="A470" s="44"/>
      <c r="E470" s="45"/>
      <c r="G470" s="45"/>
      <c r="H470" s="45"/>
    </row>
    <row r="471">
      <c r="A471" s="44"/>
      <c r="E471" s="45"/>
      <c r="G471" s="45"/>
      <c r="H471" s="45"/>
    </row>
    <row r="472">
      <c r="A472" s="44"/>
      <c r="E472" s="45"/>
      <c r="G472" s="45"/>
      <c r="H472" s="45"/>
    </row>
    <row r="473">
      <c r="A473" s="44"/>
      <c r="E473" s="45"/>
      <c r="G473" s="45"/>
      <c r="H473" s="45"/>
    </row>
    <row r="474">
      <c r="A474" s="44"/>
      <c r="E474" s="45"/>
      <c r="G474" s="45"/>
      <c r="H474" s="45"/>
    </row>
    <row r="475">
      <c r="A475" s="44"/>
      <c r="E475" s="45"/>
      <c r="G475" s="45"/>
      <c r="H475" s="45"/>
    </row>
    <row r="476">
      <c r="A476" s="44"/>
      <c r="E476" s="45"/>
      <c r="G476" s="45"/>
      <c r="H476" s="45"/>
    </row>
    <row r="477">
      <c r="A477" s="44"/>
      <c r="E477" s="45"/>
      <c r="G477" s="45"/>
      <c r="H477" s="45"/>
    </row>
    <row r="478">
      <c r="A478" s="44"/>
      <c r="E478" s="45"/>
      <c r="G478" s="45"/>
      <c r="H478" s="45"/>
    </row>
    <row r="479">
      <c r="A479" s="44"/>
      <c r="E479" s="45"/>
      <c r="G479" s="45"/>
      <c r="H479" s="45"/>
    </row>
    <row r="480">
      <c r="A480" s="44"/>
      <c r="E480" s="45"/>
      <c r="G480" s="45"/>
      <c r="H480" s="45"/>
    </row>
    <row r="481">
      <c r="A481" s="44"/>
      <c r="E481" s="45"/>
      <c r="G481" s="45"/>
      <c r="H481" s="45"/>
    </row>
    <row r="482">
      <c r="A482" s="44"/>
      <c r="E482" s="45"/>
      <c r="G482" s="45"/>
      <c r="H482" s="45"/>
    </row>
    <row r="483">
      <c r="A483" s="44"/>
      <c r="E483" s="45"/>
      <c r="G483" s="45"/>
      <c r="H483" s="45"/>
    </row>
    <row r="484">
      <c r="A484" s="44"/>
      <c r="E484" s="45"/>
      <c r="G484" s="45"/>
      <c r="H484" s="45"/>
    </row>
    <row r="485">
      <c r="A485" s="44"/>
      <c r="E485" s="45"/>
      <c r="G485" s="45"/>
      <c r="H485" s="45"/>
    </row>
    <row r="486">
      <c r="A486" s="44"/>
      <c r="E486" s="45"/>
      <c r="G486" s="45"/>
      <c r="H486" s="45"/>
    </row>
    <row r="487">
      <c r="A487" s="44"/>
      <c r="E487" s="45"/>
      <c r="G487" s="45"/>
      <c r="H487" s="45"/>
    </row>
    <row r="488">
      <c r="A488" s="44"/>
      <c r="E488" s="45"/>
      <c r="G488" s="45"/>
      <c r="H488" s="45"/>
    </row>
    <row r="489">
      <c r="A489" s="44"/>
      <c r="E489" s="45"/>
      <c r="G489" s="45"/>
      <c r="H489" s="45"/>
    </row>
    <row r="490">
      <c r="A490" s="44"/>
      <c r="E490" s="45"/>
      <c r="G490" s="45"/>
      <c r="H490" s="45"/>
    </row>
    <row r="491">
      <c r="A491" s="44"/>
      <c r="E491" s="45"/>
      <c r="G491" s="45"/>
      <c r="H491" s="45"/>
    </row>
    <row r="492">
      <c r="A492" s="44"/>
      <c r="E492" s="45"/>
      <c r="G492" s="45"/>
      <c r="H492" s="45"/>
    </row>
    <row r="493">
      <c r="A493" s="44"/>
      <c r="E493" s="45"/>
      <c r="G493" s="45"/>
      <c r="H493" s="45"/>
    </row>
    <row r="494">
      <c r="A494" s="44"/>
      <c r="E494" s="45"/>
      <c r="G494" s="45"/>
      <c r="H494" s="45"/>
    </row>
    <row r="495">
      <c r="A495" s="44"/>
      <c r="E495" s="45"/>
      <c r="G495" s="45"/>
      <c r="H495" s="45"/>
    </row>
    <row r="496">
      <c r="A496" s="44"/>
      <c r="E496" s="45"/>
      <c r="G496" s="45"/>
      <c r="H496" s="45"/>
    </row>
    <row r="497">
      <c r="A497" s="44"/>
      <c r="E497" s="45"/>
      <c r="G497" s="45"/>
      <c r="H497" s="45"/>
    </row>
    <row r="498">
      <c r="A498" s="44"/>
      <c r="E498" s="45"/>
      <c r="G498" s="45"/>
      <c r="H498" s="45"/>
    </row>
    <row r="499">
      <c r="A499" s="44"/>
      <c r="E499" s="45"/>
      <c r="G499" s="45"/>
      <c r="H499" s="45"/>
    </row>
    <row r="500">
      <c r="A500" s="44"/>
      <c r="E500" s="45"/>
      <c r="G500" s="45"/>
      <c r="H500" s="45"/>
    </row>
    <row r="501">
      <c r="A501" s="44"/>
      <c r="E501" s="45"/>
      <c r="G501" s="45"/>
      <c r="H501" s="45"/>
    </row>
    <row r="502">
      <c r="A502" s="44"/>
      <c r="E502" s="45"/>
      <c r="G502" s="45"/>
      <c r="H502" s="45"/>
    </row>
    <row r="503">
      <c r="A503" s="44"/>
      <c r="E503" s="45"/>
      <c r="G503" s="45"/>
      <c r="H503" s="45"/>
    </row>
    <row r="504">
      <c r="A504" s="44"/>
      <c r="E504" s="45"/>
      <c r="G504" s="45"/>
      <c r="H504" s="45"/>
    </row>
    <row r="505">
      <c r="A505" s="44"/>
      <c r="E505" s="45"/>
      <c r="G505" s="45"/>
      <c r="H505" s="45"/>
    </row>
    <row r="506">
      <c r="A506" s="44"/>
      <c r="E506" s="45"/>
      <c r="G506" s="45"/>
      <c r="H506" s="45"/>
    </row>
    <row r="507">
      <c r="A507" s="44"/>
      <c r="E507" s="45"/>
      <c r="G507" s="45"/>
      <c r="H507" s="45"/>
    </row>
    <row r="508">
      <c r="A508" s="44"/>
      <c r="E508" s="45"/>
      <c r="G508" s="45"/>
      <c r="H508" s="45"/>
    </row>
    <row r="509">
      <c r="A509" s="44"/>
      <c r="E509" s="45"/>
      <c r="G509" s="45"/>
      <c r="H509" s="45"/>
    </row>
    <row r="510">
      <c r="A510" s="44"/>
      <c r="E510" s="45"/>
      <c r="G510" s="45"/>
      <c r="H510" s="45"/>
    </row>
    <row r="511">
      <c r="A511" s="44"/>
      <c r="E511" s="45"/>
      <c r="G511" s="45"/>
      <c r="H511" s="45"/>
    </row>
    <row r="512">
      <c r="A512" s="44"/>
      <c r="E512" s="45"/>
      <c r="G512" s="45"/>
      <c r="H512" s="45"/>
    </row>
    <row r="513">
      <c r="A513" s="44"/>
      <c r="E513" s="45"/>
      <c r="G513" s="45"/>
      <c r="H513" s="45"/>
    </row>
    <row r="514">
      <c r="A514" s="44"/>
      <c r="E514" s="45"/>
      <c r="G514" s="45"/>
      <c r="H514" s="45"/>
    </row>
    <row r="515">
      <c r="A515" s="44"/>
      <c r="E515" s="45"/>
      <c r="G515" s="45"/>
      <c r="H515" s="45"/>
    </row>
    <row r="516">
      <c r="A516" s="44"/>
      <c r="E516" s="45"/>
      <c r="G516" s="45"/>
      <c r="H516" s="45"/>
    </row>
    <row r="517">
      <c r="A517" s="44"/>
      <c r="E517" s="45"/>
      <c r="G517" s="45"/>
      <c r="H517" s="45"/>
    </row>
    <row r="518">
      <c r="A518" s="44"/>
      <c r="E518" s="45"/>
      <c r="G518" s="45"/>
      <c r="H518" s="45"/>
    </row>
    <row r="519">
      <c r="A519" s="44"/>
      <c r="E519" s="45"/>
      <c r="G519" s="45"/>
      <c r="H519" s="45"/>
    </row>
    <row r="520">
      <c r="A520" s="44"/>
      <c r="E520" s="45"/>
      <c r="G520" s="45"/>
      <c r="H520" s="45"/>
    </row>
    <row r="521">
      <c r="A521" s="44"/>
      <c r="E521" s="45"/>
      <c r="G521" s="45"/>
      <c r="H521" s="45"/>
    </row>
    <row r="522">
      <c r="A522" s="44"/>
      <c r="E522" s="45"/>
      <c r="G522" s="45"/>
      <c r="H522" s="45"/>
    </row>
    <row r="523">
      <c r="A523" s="44"/>
      <c r="E523" s="45"/>
      <c r="G523" s="45"/>
      <c r="H523" s="45"/>
    </row>
    <row r="524">
      <c r="A524" s="44"/>
      <c r="E524" s="45"/>
      <c r="G524" s="45"/>
      <c r="H524" s="45"/>
    </row>
    <row r="525">
      <c r="A525" s="44"/>
      <c r="E525" s="45"/>
      <c r="G525" s="45"/>
      <c r="H525" s="45"/>
    </row>
    <row r="526">
      <c r="A526" s="44"/>
      <c r="E526" s="45"/>
      <c r="G526" s="45"/>
      <c r="H526" s="45"/>
    </row>
    <row r="527">
      <c r="A527" s="44"/>
      <c r="E527" s="45"/>
      <c r="G527" s="45"/>
      <c r="H527" s="45"/>
    </row>
    <row r="528">
      <c r="A528" s="44"/>
      <c r="E528" s="45"/>
      <c r="G528" s="45"/>
      <c r="H528" s="45"/>
    </row>
    <row r="529">
      <c r="A529" s="44"/>
      <c r="E529" s="45"/>
      <c r="G529" s="45"/>
      <c r="H529" s="45"/>
    </row>
    <row r="530">
      <c r="A530" s="44"/>
      <c r="E530" s="45"/>
      <c r="G530" s="45"/>
      <c r="H530" s="45"/>
    </row>
    <row r="531">
      <c r="A531" s="44"/>
      <c r="E531" s="45"/>
      <c r="G531" s="45"/>
      <c r="H531" s="45"/>
    </row>
    <row r="532">
      <c r="A532" s="44"/>
      <c r="E532" s="45"/>
      <c r="G532" s="45"/>
      <c r="H532" s="45"/>
    </row>
    <row r="533">
      <c r="A533" s="44"/>
      <c r="E533" s="45"/>
      <c r="G533" s="45"/>
      <c r="H533" s="45"/>
    </row>
    <row r="534">
      <c r="A534" s="44"/>
      <c r="E534" s="45"/>
      <c r="G534" s="45"/>
      <c r="H534" s="45"/>
    </row>
    <row r="535">
      <c r="A535" s="44"/>
      <c r="E535" s="45"/>
      <c r="G535" s="45"/>
      <c r="H535" s="45"/>
    </row>
    <row r="536">
      <c r="A536" s="44"/>
      <c r="E536" s="45"/>
      <c r="G536" s="45"/>
      <c r="H536" s="45"/>
    </row>
    <row r="537">
      <c r="A537" s="44"/>
      <c r="E537" s="45"/>
      <c r="G537" s="45"/>
      <c r="H537" s="45"/>
    </row>
    <row r="538">
      <c r="A538" s="44"/>
      <c r="E538" s="45"/>
      <c r="G538" s="45"/>
      <c r="H538" s="45"/>
    </row>
    <row r="539">
      <c r="A539" s="44"/>
      <c r="E539" s="45"/>
      <c r="G539" s="45"/>
      <c r="H539" s="45"/>
    </row>
    <row r="540">
      <c r="A540" s="44"/>
      <c r="E540" s="45"/>
      <c r="G540" s="45"/>
      <c r="H540" s="45"/>
    </row>
    <row r="541">
      <c r="A541" s="44"/>
      <c r="E541" s="45"/>
      <c r="G541" s="45"/>
      <c r="H541" s="45"/>
    </row>
    <row r="542">
      <c r="A542" s="44"/>
      <c r="E542" s="45"/>
      <c r="G542" s="45"/>
      <c r="H542" s="45"/>
    </row>
    <row r="543">
      <c r="A543" s="44"/>
      <c r="E543" s="45"/>
      <c r="G543" s="45"/>
      <c r="H543" s="45"/>
    </row>
    <row r="544">
      <c r="A544" s="44"/>
      <c r="E544" s="45"/>
      <c r="G544" s="45"/>
      <c r="H544" s="45"/>
    </row>
    <row r="545">
      <c r="A545" s="44"/>
      <c r="E545" s="45"/>
      <c r="G545" s="45"/>
      <c r="H545" s="45"/>
    </row>
    <row r="546">
      <c r="A546" s="44"/>
      <c r="E546" s="45"/>
      <c r="G546" s="45"/>
      <c r="H546" s="45"/>
    </row>
    <row r="547">
      <c r="A547" s="44"/>
      <c r="E547" s="45"/>
      <c r="G547" s="45"/>
      <c r="H547" s="45"/>
    </row>
    <row r="548">
      <c r="A548" s="44"/>
      <c r="E548" s="45"/>
      <c r="G548" s="45"/>
      <c r="H548" s="45"/>
    </row>
    <row r="549">
      <c r="A549" s="44"/>
      <c r="E549" s="45"/>
      <c r="G549" s="45"/>
      <c r="H549" s="45"/>
    </row>
    <row r="550">
      <c r="A550" s="44"/>
      <c r="E550" s="45"/>
      <c r="G550" s="45"/>
      <c r="H550" s="45"/>
    </row>
    <row r="551">
      <c r="A551" s="44"/>
      <c r="E551" s="45"/>
      <c r="G551" s="45"/>
      <c r="H551" s="45"/>
    </row>
    <row r="552">
      <c r="A552" s="44"/>
      <c r="E552" s="45"/>
      <c r="G552" s="45"/>
      <c r="H552" s="45"/>
    </row>
    <row r="553">
      <c r="A553" s="44"/>
      <c r="E553" s="45"/>
      <c r="G553" s="45"/>
      <c r="H553" s="45"/>
    </row>
    <row r="554">
      <c r="A554" s="44"/>
      <c r="E554" s="45"/>
      <c r="G554" s="45"/>
      <c r="H554" s="45"/>
    </row>
    <row r="555">
      <c r="A555" s="44"/>
      <c r="E555" s="45"/>
      <c r="G555" s="45"/>
      <c r="H555" s="45"/>
    </row>
    <row r="556">
      <c r="A556" s="44"/>
      <c r="E556" s="45"/>
      <c r="G556" s="45"/>
      <c r="H556" s="45"/>
    </row>
    <row r="557">
      <c r="A557" s="44"/>
      <c r="E557" s="45"/>
      <c r="G557" s="45"/>
      <c r="H557" s="45"/>
    </row>
    <row r="558">
      <c r="A558" s="44"/>
      <c r="E558" s="45"/>
      <c r="G558" s="45"/>
      <c r="H558" s="45"/>
    </row>
    <row r="559">
      <c r="A559" s="44"/>
      <c r="E559" s="45"/>
      <c r="G559" s="45"/>
      <c r="H559" s="45"/>
    </row>
    <row r="560">
      <c r="A560" s="44"/>
      <c r="E560" s="45"/>
      <c r="G560" s="45"/>
      <c r="H560" s="45"/>
    </row>
    <row r="561">
      <c r="A561" s="44"/>
      <c r="E561" s="45"/>
      <c r="G561" s="45"/>
      <c r="H561" s="45"/>
    </row>
    <row r="562">
      <c r="A562" s="44"/>
      <c r="E562" s="45"/>
      <c r="G562" s="45"/>
      <c r="H562" s="45"/>
    </row>
    <row r="563">
      <c r="A563" s="44"/>
      <c r="E563" s="45"/>
      <c r="G563" s="45"/>
      <c r="H563" s="45"/>
    </row>
    <row r="564">
      <c r="A564" s="44"/>
      <c r="E564" s="45"/>
      <c r="G564" s="45"/>
      <c r="H564" s="45"/>
    </row>
    <row r="565">
      <c r="A565" s="44"/>
      <c r="E565" s="45"/>
      <c r="G565" s="45"/>
      <c r="H565" s="45"/>
    </row>
    <row r="566">
      <c r="A566" s="44"/>
      <c r="E566" s="45"/>
      <c r="G566" s="45"/>
      <c r="H566" s="45"/>
    </row>
    <row r="567">
      <c r="A567" s="44"/>
      <c r="E567" s="45"/>
      <c r="G567" s="45"/>
      <c r="H567" s="45"/>
    </row>
    <row r="568">
      <c r="A568" s="44"/>
      <c r="E568" s="45"/>
      <c r="G568" s="45"/>
      <c r="H568" s="45"/>
    </row>
    <row r="569">
      <c r="A569" s="44"/>
      <c r="E569" s="45"/>
      <c r="G569" s="45"/>
      <c r="H569" s="45"/>
    </row>
    <row r="570">
      <c r="A570" s="44"/>
      <c r="E570" s="45"/>
      <c r="G570" s="45"/>
      <c r="H570" s="45"/>
    </row>
    <row r="571">
      <c r="A571" s="44"/>
      <c r="E571" s="45"/>
      <c r="G571" s="45"/>
      <c r="H571" s="45"/>
    </row>
    <row r="572">
      <c r="A572" s="44"/>
      <c r="E572" s="45"/>
      <c r="G572" s="45"/>
      <c r="H572" s="45"/>
    </row>
    <row r="573">
      <c r="A573" s="44"/>
      <c r="E573" s="45"/>
      <c r="G573" s="45"/>
      <c r="H573" s="45"/>
    </row>
    <row r="574">
      <c r="A574" s="44"/>
      <c r="E574" s="45"/>
      <c r="G574" s="45"/>
      <c r="H574" s="45"/>
    </row>
    <row r="575">
      <c r="A575" s="44"/>
      <c r="E575" s="45"/>
      <c r="G575" s="45"/>
      <c r="H575" s="45"/>
    </row>
    <row r="576">
      <c r="A576" s="44"/>
      <c r="E576" s="45"/>
      <c r="G576" s="45"/>
      <c r="H576" s="45"/>
    </row>
    <row r="577">
      <c r="A577" s="44"/>
      <c r="E577" s="45"/>
      <c r="G577" s="45"/>
      <c r="H577" s="45"/>
    </row>
    <row r="578">
      <c r="A578" s="44"/>
      <c r="E578" s="45"/>
      <c r="G578" s="45"/>
      <c r="H578" s="45"/>
    </row>
    <row r="579">
      <c r="A579" s="44"/>
      <c r="E579" s="45"/>
      <c r="G579" s="45"/>
      <c r="H579" s="45"/>
    </row>
    <row r="580">
      <c r="A580" s="44"/>
      <c r="E580" s="45"/>
      <c r="G580" s="45"/>
      <c r="H580" s="45"/>
    </row>
    <row r="581">
      <c r="A581" s="44"/>
      <c r="E581" s="45"/>
      <c r="G581" s="45"/>
      <c r="H581" s="45"/>
    </row>
    <row r="582">
      <c r="A582" s="44"/>
      <c r="E582" s="45"/>
      <c r="G582" s="45"/>
      <c r="H582" s="45"/>
    </row>
    <row r="583">
      <c r="A583" s="44"/>
      <c r="E583" s="45"/>
      <c r="G583" s="45"/>
      <c r="H583" s="45"/>
    </row>
    <row r="584">
      <c r="A584" s="44"/>
      <c r="E584" s="45"/>
      <c r="G584" s="45"/>
      <c r="H584" s="45"/>
    </row>
    <row r="585">
      <c r="A585" s="44"/>
      <c r="E585" s="45"/>
      <c r="G585" s="45"/>
      <c r="H585" s="45"/>
    </row>
    <row r="586">
      <c r="A586" s="44"/>
      <c r="E586" s="45"/>
      <c r="G586" s="45"/>
      <c r="H586" s="45"/>
    </row>
    <row r="587">
      <c r="A587" s="44"/>
      <c r="E587" s="45"/>
      <c r="G587" s="45"/>
      <c r="H587" s="45"/>
    </row>
    <row r="588">
      <c r="A588" s="44"/>
      <c r="E588" s="45"/>
      <c r="G588" s="45"/>
      <c r="H588" s="45"/>
    </row>
    <row r="589">
      <c r="A589" s="44"/>
      <c r="E589" s="45"/>
      <c r="G589" s="45"/>
      <c r="H589" s="45"/>
    </row>
    <row r="590">
      <c r="A590" s="44"/>
      <c r="E590" s="45"/>
      <c r="G590" s="45"/>
      <c r="H590" s="45"/>
    </row>
    <row r="591">
      <c r="A591" s="44"/>
      <c r="E591" s="45"/>
      <c r="G591" s="45"/>
      <c r="H591" s="45"/>
    </row>
    <row r="592">
      <c r="A592" s="44"/>
      <c r="E592" s="45"/>
      <c r="G592" s="45"/>
      <c r="H592" s="45"/>
    </row>
    <row r="593">
      <c r="A593" s="44"/>
      <c r="E593" s="45"/>
      <c r="G593" s="45"/>
      <c r="H593" s="45"/>
    </row>
    <row r="594">
      <c r="A594" s="44"/>
      <c r="E594" s="45"/>
      <c r="G594" s="45"/>
      <c r="H594" s="45"/>
    </row>
    <row r="595">
      <c r="A595" s="44"/>
      <c r="E595" s="45"/>
      <c r="G595" s="45"/>
      <c r="H595" s="45"/>
    </row>
    <row r="596">
      <c r="A596" s="44"/>
      <c r="E596" s="45"/>
      <c r="G596" s="45"/>
      <c r="H596" s="45"/>
    </row>
    <row r="597">
      <c r="A597" s="44"/>
      <c r="E597" s="45"/>
      <c r="G597" s="45"/>
      <c r="H597" s="45"/>
    </row>
    <row r="598">
      <c r="A598" s="44"/>
      <c r="E598" s="45"/>
      <c r="G598" s="45"/>
      <c r="H598" s="45"/>
    </row>
    <row r="599">
      <c r="A599" s="44"/>
      <c r="E599" s="45"/>
      <c r="G599" s="45"/>
      <c r="H599" s="45"/>
    </row>
    <row r="600">
      <c r="A600" s="44"/>
      <c r="E600" s="45"/>
      <c r="G600" s="45"/>
      <c r="H600" s="45"/>
    </row>
    <row r="601">
      <c r="A601" s="44"/>
      <c r="E601" s="45"/>
      <c r="G601" s="45"/>
      <c r="H601" s="45"/>
    </row>
    <row r="602">
      <c r="A602" s="44"/>
      <c r="E602" s="45"/>
      <c r="G602" s="45"/>
      <c r="H602" s="45"/>
    </row>
    <row r="603">
      <c r="A603" s="44"/>
      <c r="E603" s="45"/>
      <c r="G603" s="45"/>
      <c r="H603" s="45"/>
    </row>
    <row r="604">
      <c r="A604" s="44"/>
      <c r="E604" s="45"/>
      <c r="G604" s="45"/>
      <c r="H604" s="45"/>
    </row>
    <row r="605">
      <c r="A605" s="44"/>
      <c r="E605" s="45"/>
      <c r="G605" s="45"/>
      <c r="H605" s="45"/>
    </row>
    <row r="606">
      <c r="A606" s="44"/>
      <c r="E606" s="45"/>
      <c r="G606" s="45"/>
      <c r="H606" s="45"/>
    </row>
    <row r="607">
      <c r="A607" s="44"/>
      <c r="E607" s="45"/>
      <c r="G607" s="45"/>
      <c r="H607" s="45"/>
    </row>
    <row r="608">
      <c r="A608" s="44"/>
      <c r="E608" s="45"/>
      <c r="G608" s="45"/>
      <c r="H608" s="45"/>
    </row>
    <row r="609">
      <c r="A609" s="44"/>
      <c r="E609" s="45"/>
      <c r="G609" s="45"/>
      <c r="H609" s="45"/>
    </row>
    <row r="610">
      <c r="A610" s="44"/>
      <c r="E610" s="45"/>
      <c r="G610" s="45"/>
      <c r="H610" s="45"/>
    </row>
    <row r="611">
      <c r="A611" s="44"/>
      <c r="E611" s="45"/>
      <c r="G611" s="45"/>
      <c r="H611" s="45"/>
    </row>
    <row r="612">
      <c r="A612" s="44"/>
      <c r="E612" s="45"/>
      <c r="G612" s="45"/>
      <c r="H612" s="45"/>
    </row>
    <row r="613">
      <c r="A613" s="44"/>
      <c r="E613" s="45"/>
      <c r="G613" s="45"/>
      <c r="H613" s="45"/>
    </row>
    <row r="614">
      <c r="A614" s="44"/>
      <c r="E614" s="45"/>
      <c r="G614" s="45"/>
      <c r="H614" s="45"/>
    </row>
    <row r="615">
      <c r="A615" s="44"/>
      <c r="E615" s="45"/>
      <c r="G615" s="45"/>
      <c r="H615" s="45"/>
    </row>
    <row r="616">
      <c r="A616" s="44"/>
      <c r="E616" s="45"/>
      <c r="G616" s="45"/>
      <c r="H616" s="45"/>
    </row>
    <row r="617">
      <c r="A617" s="44"/>
      <c r="E617" s="45"/>
      <c r="G617" s="45"/>
      <c r="H617" s="45"/>
    </row>
    <row r="618">
      <c r="A618" s="44"/>
      <c r="E618" s="45"/>
      <c r="G618" s="45"/>
      <c r="H618" s="45"/>
    </row>
    <row r="619">
      <c r="A619" s="44"/>
      <c r="E619" s="45"/>
      <c r="G619" s="45"/>
      <c r="H619" s="45"/>
    </row>
    <row r="620">
      <c r="A620" s="44"/>
      <c r="E620" s="45"/>
      <c r="G620" s="45"/>
      <c r="H620" s="45"/>
    </row>
    <row r="621">
      <c r="A621" s="44"/>
      <c r="E621" s="45"/>
      <c r="G621" s="45"/>
      <c r="H621" s="45"/>
    </row>
    <row r="622">
      <c r="A622" s="44"/>
      <c r="E622" s="45"/>
      <c r="G622" s="45"/>
      <c r="H622" s="45"/>
    </row>
    <row r="623">
      <c r="A623" s="44"/>
      <c r="E623" s="45"/>
      <c r="G623" s="45"/>
      <c r="H623" s="45"/>
    </row>
    <row r="624">
      <c r="A624" s="44"/>
      <c r="E624" s="45"/>
      <c r="G624" s="45"/>
      <c r="H624" s="45"/>
    </row>
    <row r="625">
      <c r="A625" s="44"/>
      <c r="E625" s="45"/>
      <c r="G625" s="45"/>
      <c r="H625" s="45"/>
    </row>
    <row r="626">
      <c r="A626" s="44"/>
      <c r="E626" s="45"/>
      <c r="G626" s="45"/>
      <c r="H626" s="45"/>
    </row>
    <row r="627">
      <c r="A627" s="44"/>
      <c r="E627" s="45"/>
      <c r="G627" s="45"/>
      <c r="H627" s="45"/>
    </row>
    <row r="628">
      <c r="A628" s="44"/>
      <c r="E628" s="45"/>
      <c r="G628" s="45"/>
      <c r="H628" s="45"/>
    </row>
    <row r="629">
      <c r="A629" s="44"/>
      <c r="E629" s="45"/>
      <c r="G629" s="45"/>
      <c r="H629" s="45"/>
    </row>
    <row r="630">
      <c r="A630" s="44"/>
      <c r="E630" s="45"/>
      <c r="G630" s="45"/>
      <c r="H630" s="45"/>
    </row>
    <row r="631">
      <c r="A631" s="44"/>
      <c r="E631" s="45"/>
      <c r="G631" s="45"/>
      <c r="H631" s="45"/>
    </row>
    <row r="632">
      <c r="A632" s="44"/>
      <c r="E632" s="45"/>
      <c r="G632" s="45"/>
      <c r="H632" s="45"/>
    </row>
    <row r="633">
      <c r="A633" s="44"/>
      <c r="E633" s="45"/>
      <c r="G633" s="45"/>
      <c r="H633" s="45"/>
    </row>
    <row r="634">
      <c r="A634" s="44"/>
      <c r="E634" s="45"/>
      <c r="G634" s="45"/>
      <c r="H634" s="45"/>
    </row>
    <row r="635">
      <c r="A635" s="44"/>
      <c r="E635" s="45"/>
      <c r="G635" s="45"/>
      <c r="H635" s="45"/>
    </row>
    <row r="636">
      <c r="A636" s="44"/>
      <c r="E636" s="45"/>
      <c r="G636" s="45"/>
      <c r="H636" s="45"/>
    </row>
    <row r="637">
      <c r="A637" s="44"/>
      <c r="E637" s="45"/>
      <c r="G637" s="45"/>
      <c r="H637" s="45"/>
    </row>
    <row r="638">
      <c r="A638" s="44"/>
      <c r="E638" s="45"/>
      <c r="G638" s="45"/>
      <c r="H638" s="45"/>
    </row>
    <row r="639">
      <c r="A639" s="44"/>
      <c r="E639" s="45"/>
      <c r="G639" s="45"/>
      <c r="H639" s="45"/>
    </row>
    <row r="640">
      <c r="A640" s="44"/>
      <c r="E640" s="45"/>
      <c r="G640" s="45"/>
      <c r="H640" s="45"/>
    </row>
    <row r="641">
      <c r="A641" s="44"/>
      <c r="E641" s="45"/>
      <c r="G641" s="45"/>
      <c r="H641" s="45"/>
    </row>
    <row r="642">
      <c r="A642" s="44"/>
      <c r="E642" s="45"/>
      <c r="G642" s="45"/>
      <c r="H642" s="45"/>
    </row>
    <row r="643">
      <c r="A643" s="44"/>
      <c r="E643" s="45"/>
      <c r="G643" s="45"/>
      <c r="H643" s="45"/>
    </row>
    <row r="644">
      <c r="A644" s="44"/>
      <c r="E644" s="45"/>
      <c r="G644" s="45"/>
      <c r="H644" s="45"/>
    </row>
    <row r="645">
      <c r="A645" s="44"/>
      <c r="E645" s="45"/>
      <c r="G645" s="45"/>
      <c r="H645" s="45"/>
    </row>
    <row r="646">
      <c r="A646" s="44"/>
      <c r="E646" s="45"/>
      <c r="G646" s="45"/>
      <c r="H646" s="45"/>
    </row>
    <row r="647">
      <c r="A647" s="44"/>
      <c r="E647" s="45"/>
      <c r="G647" s="45"/>
      <c r="H647" s="45"/>
    </row>
    <row r="648">
      <c r="A648" s="44"/>
      <c r="E648" s="45"/>
      <c r="G648" s="45"/>
      <c r="H648" s="45"/>
    </row>
    <row r="649">
      <c r="A649" s="44"/>
      <c r="E649" s="45"/>
      <c r="G649" s="45"/>
      <c r="H649" s="45"/>
    </row>
    <row r="650">
      <c r="A650" s="44"/>
      <c r="E650" s="45"/>
      <c r="G650" s="45"/>
      <c r="H650" s="45"/>
    </row>
    <row r="651">
      <c r="A651" s="44"/>
      <c r="E651" s="45"/>
      <c r="G651" s="45"/>
      <c r="H651" s="45"/>
    </row>
    <row r="652">
      <c r="A652" s="44"/>
      <c r="E652" s="45"/>
      <c r="G652" s="45"/>
      <c r="H652" s="45"/>
    </row>
    <row r="653">
      <c r="A653" s="44"/>
      <c r="E653" s="45"/>
      <c r="G653" s="45"/>
      <c r="H653" s="45"/>
    </row>
    <row r="654">
      <c r="A654" s="44"/>
      <c r="E654" s="45"/>
      <c r="G654" s="45"/>
      <c r="H654" s="45"/>
    </row>
    <row r="655">
      <c r="A655" s="44"/>
      <c r="E655" s="45"/>
      <c r="G655" s="45"/>
      <c r="H655" s="45"/>
    </row>
    <row r="656">
      <c r="A656" s="44"/>
      <c r="E656" s="45"/>
      <c r="G656" s="45"/>
      <c r="H656" s="45"/>
    </row>
    <row r="657">
      <c r="A657" s="44"/>
      <c r="E657" s="45"/>
      <c r="G657" s="45"/>
      <c r="H657" s="45"/>
    </row>
    <row r="658">
      <c r="A658" s="44"/>
      <c r="E658" s="45"/>
      <c r="G658" s="45"/>
      <c r="H658" s="45"/>
    </row>
    <row r="659">
      <c r="A659" s="44"/>
      <c r="E659" s="45"/>
      <c r="G659" s="45"/>
      <c r="H659" s="45"/>
    </row>
    <row r="660">
      <c r="A660" s="44"/>
      <c r="E660" s="45"/>
      <c r="G660" s="45"/>
      <c r="H660" s="45"/>
    </row>
    <row r="661">
      <c r="A661" s="44"/>
      <c r="E661" s="45"/>
      <c r="G661" s="45"/>
      <c r="H661" s="45"/>
    </row>
    <row r="662">
      <c r="A662" s="44"/>
      <c r="E662" s="45"/>
      <c r="G662" s="45"/>
      <c r="H662" s="45"/>
    </row>
    <row r="663">
      <c r="A663" s="44"/>
      <c r="E663" s="45"/>
      <c r="G663" s="45"/>
      <c r="H663" s="45"/>
    </row>
    <row r="664">
      <c r="A664" s="44"/>
      <c r="E664" s="45"/>
      <c r="G664" s="45"/>
      <c r="H664" s="45"/>
    </row>
    <row r="665">
      <c r="A665" s="44"/>
      <c r="E665" s="45"/>
      <c r="G665" s="45"/>
      <c r="H665" s="45"/>
    </row>
    <row r="666">
      <c r="A666" s="44"/>
      <c r="E666" s="45"/>
      <c r="G666" s="45"/>
      <c r="H666" s="45"/>
    </row>
    <row r="667">
      <c r="A667" s="44"/>
      <c r="E667" s="45"/>
      <c r="G667" s="45"/>
      <c r="H667" s="45"/>
    </row>
    <row r="668">
      <c r="A668" s="44"/>
      <c r="E668" s="45"/>
      <c r="G668" s="45"/>
      <c r="H668" s="45"/>
    </row>
    <row r="669">
      <c r="A669" s="44"/>
      <c r="E669" s="45"/>
      <c r="G669" s="45"/>
      <c r="H669" s="45"/>
    </row>
    <row r="670">
      <c r="A670" s="44"/>
      <c r="E670" s="45"/>
      <c r="G670" s="45"/>
      <c r="H670" s="45"/>
    </row>
    <row r="671">
      <c r="A671" s="44"/>
      <c r="E671" s="45"/>
      <c r="G671" s="45"/>
      <c r="H671" s="45"/>
    </row>
    <row r="672">
      <c r="A672" s="44"/>
      <c r="E672" s="45"/>
      <c r="G672" s="45"/>
      <c r="H672" s="45"/>
    </row>
    <row r="673">
      <c r="A673" s="44"/>
      <c r="E673" s="45"/>
      <c r="G673" s="45"/>
      <c r="H673" s="45"/>
    </row>
    <row r="674">
      <c r="A674" s="44"/>
      <c r="E674" s="45"/>
      <c r="G674" s="45"/>
      <c r="H674" s="45"/>
    </row>
    <row r="675">
      <c r="A675" s="44"/>
      <c r="E675" s="45"/>
      <c r="G675" s="45"/>
      <c r="H675" s="45"/>
    </row>
    <row r="676">
      <c r="A676" s="44"/>
      <c r="E676" s="45"/>
      <c r="G676" s="45"/>
      <c r="H676" s="45"/>
    </row>
    <row r="677">
      <c r="A677" s="44"/>
      <c r="E677" s="45"/>
      <c r="G677" s="45"/>
      <c r="H677" s="45"/>
    </row>
    <row r="678">
      <c r="A678" s="44"/>
      <c r="E678" s="45"/>
      <c r="G678" s="45"/>
      <c r="H678" s="45"/>
    </row>
    <row r="679">
      <c r="A679" s="44"/>
      <c r="E679" s="45"/>
      <c r="G679" s="45"/>
      <c r="H679" s="45"/>
    </row>
    <row r="680">
      <c r="A680" s="44"/>
      <c r="E680" s="45"/>
      <c r="G680" s="45"/>
      <c r="H680" s="45"/>
    </row>
    <row r="681">
      <c r="A681" s="44"/>
      <c r="E681" s="45"/>
      <c r="G681" s="45"/>
      <c r="H681" s="45"/>
    </row>
    <row r="682">
      <c r="A682" s="44"/>
      <c r="E682" s="45"/>
      <c r="G682" s="45"/>
      <c r="H682" s="45"/>
    </row>
    <row r="683">
      <c r="A683" s="44"/>
      <c r="E683" s="45"/>
      <c r="G683" s="45"/>
      <c r="H683" s="45"/>
    </row>
    <row r="684">
      <c r="A684" s="44"/>
      <c r="E684" s="45"/>
      <c r="G684" s="45"/>
      <c r="H684" s="45"/>
    </row>
    <row r="685">
      <c r="A685" s="44"/>
      <c r="E685" s="45"/>
      <c r="G685" s="45"/>
      <c r="H685" s="45"/>
    </row>
    <row r="686">
      <c r="A686" s="44"/>
      <c r="E686" s="45"/>
      <c r="G686" s="45"/>
      <c r="H686" s="45"/>
    </row>
    <row r="687">
      <c r="A687" s="44"/>
      <c r="E687" s="45"/>
      <c r="G687" s="45"/>
      <c r="H687" s="45"/>
    </row>
    <row r="688">
      <c r="A688" s="44"/>
      <c r="E688" s="45"/>
      <c r="G688" s="45"/>
      <c r="H688" s="45"/>
    </row>
    <row r="689">
      <c r="A689" s="44"/>
      <c r="E689" s="45"/>
      <c r="G689" s="45"/>
      <c r="H689" s="45"/>
    </row>
    <row r="690">
      <c r="A690" s="44"/>
      <c r="E690" s="45"/>
      <c r="G690" s="45"/>
      <c r="H690" s="45"/>
    </row>
    <row r="691">
      <c r="A691" s="44"/>
      <c r="E691" s="45"/>
      <c r="G691" s="45"/>
      <c r="H691" s="45"/>
    </row>
    <row r="692">
      <c r="A692" s="44"/>
      <c r="E692" s="45"/>
      <c r="G692" s="45"/>
      <c r="H692" s="45"/>
    </row>
    <row r="693">
      <c r="A693" s="44"/>
      <c r="E693" s="45"/>
      <c r="G693" s="45"/>
      <c r="H693" s="45"/>
    </row>
    <row r="694">
      <c r="A694" s="44"/>
      <c r="E694" s="45"/>
      <c r="G694" s="45"/>
      <c r="H694" s="45"/>
    </row>
    <row r="695">
      <c r="A695" s="44"/>
      <c r="E695" s="45"/>
      <c r="G695" s="45"/>
      <c r="H695" s="45"/>
    </row>
    <row r="696">
      <c r="A696" s="44"/>
      <c r="E696" s="45"/>
      <c r="G696" s="45"/>
      <c r="H696" s="45"/>
    </row>
    <row r="697">
      <c r="A697" s="44"/>
      <c r="E697" s="45"/>
      <c r="G697" s="45"/>
      <c r="H697" s="45"/>
    </row>
    <row r="698">
      <c r="A698" s="44"/>
      <c r="E698" s="45"/>
      <c r="G698" s="45"/>
      <c r="H698" s="45"/>
    </row>
    <row r="699">
      <c r="A699" s="44"/>
      <c r="E699" s="45"/>
      <c r="G699" s="45"/>
      <c r="H699" s="45"/>
    </row>
    <row r="700">
      <c r="A700" s="44"/>
      <c r="E700" s="45"/>
      <c r="G700" s="45"/>
      <c r="H700" s="45"/>
    </row>
    <row r="701">
      <c r="A701" s="44"/>
      <c r="E701" s="45"/>
      <c r="G701" s="45"/>
      <c r="H701" s="45"/>
    </row>
    <row r="702">
      <c r="A702" s="44"/>
      <c r="E702" s="45"/>
      <c r="G702" s="45"/>
      <c r="H702" s="45"/>
    </row>
    <row r="703">
      <c r="A703" s="44"/>
      <c r="E703" s="45"/>
      <c r="G703" s="45"/>
      <c r="H703" s="45"/>
    </row>
    <row r="704">
      <c r="A704" s="44"/>
      <c r="E704" s="45"/>
      <c r="G704" s="45"/>
      <c r="H704" s="45"/>
    </row>
    <row r="705">
      <c r="A705" s="44"/>
      <c r="E705" s="45"/>
      <c r="G705" s="45"/>
      <c r="H705" s="45"/>
    </row>
    <row r="706">
      <c r="A706" s="44"/>
      <c r="E706" s="45"/>
      <c r="G706" s="45"/>
      <c r="H706" s="45"/>
    </row>
    <row r="707">
      <c r="A707" s="44"/>
      <c r="E707" s="45"/>
      <c r="G707" s="45"/>
      <c r="H707" s="45"/>
    </row>
    <row r="708">
      <c r="A708" s="44"/>
      <c r="E708" s="45"/>
      <c r="G708" s="45"/>
      <c r="H708" s="45"/>
    </row>
    <row r="709">
      <c r="A709" s="44"/>
      <c r="E709" s="45"/>
      <c r="G709" s="45"/>
      <c r="H709" s="45"/>
    </row>
    <row r="710">
      <c r="A710" s="44"/>
      <c r="E710" s="45"/>
      <c r="G710" s="45"/>
      <c r="H710" s="45"/>
    </row>
    <row r="711">
      <c r="A711" s="44"/>
      <c r="E711" s="45"/>
      <c r="G711" s="45"/>
      <c r="H711" s="45"/>
    </row>
    <row r="712">
      <c r="A712" s="44"/>
      <c r="E712" s="45"/>
      <c r="G712" s="45"/>
      <c r="H712" s="45"/>
    </row>
    <row r="713">
      <c r="A713" s="44"/>
      <c r="E713" s="45"/>
      <c r="G713" s="45"/>
      <c r="H713" s="45"/>
    </row>
    <row r="714">
      <c r="A714" s="44"/>
      <c r="E714" s="45"/>
      <c r="G714" s="45"/>
      <c r="H714" s="45"/>
    </row>
    <row r="715">
      <c r="A715" s="44"/>
      <c r="E715" s="45"/>
      <c r="G715" s="45"/>
      <c r="H715" s="45"/>
    </row>
    <row r="716">
      <c r="A716" s="44"/>
      <c r="E716" s="45"/>
      <c r="G716" s="45"/>
      <c r="H716" s="45"/>
    </row>
    <row r="717">
      <c r="A717" s="44"/>
      <c r="E717" s="45"/>
      <c r="G717" s="45"/>
      <c r="H717" s="45"/>
    </row>
    <row r="718">
      <c r="A718" s="44"/>
      <c r="E718" s="45"/>
      <c r="G718" s="45"/>
      <c r="H718" s="45"/>
    </row>
    <row r="719">
      <c r="A719" s="44"/>
      <c r="E719" s="45"/>
      <c r="G719" s="45"/>
      <c r="H719" s="45"/>
    </row>
    <row r="720">
      <c r="A720" s="44"/>
      <c r="E720" s="45"/>
      <c r="G720" s="45"/>
      <c r="H720" s="45"/>
    </row>
    <row r="721">
      <c r="A721" s="44"/>
      <c r="E721" s="45"/>
      <c r="G721" s="45"/>
      <c r="H721" s="45"/>
    </row>
    <row r="722">
      <c r="A722" s="44"/>
      <c r="E722" s="45"/>
      <c r="G722" s="45"/>
      <c r="H722" s="45"/>
    </row>
    <row r="723">
      <c r="A723" s="44"/>
      <c r="E723" s="45"/>
      <c r="G723" s="45"/>
      <c r="H723" s="45"/>
    </row>
    <row r="724">
      <c r="A724" s="44"/>
      <c r="E724" s="45"/>
      <c r="G724" s="45"/>
      <c r="H724" s="45"/>
    </row>
    <row r="725">
      <c r="A725" s="44"/>
      <c r="E725" s="45"/>
      <c r="G725" s="45"/>
      <c r="H725" s="45"/>
    </row>
    <row r="726">
      <c r="A726" s="44"/>
      <c r="E726" s="45"/>
      <c r="G726" s="45"/>
      <c r="H726" s="45"/>
    </row>
    <row r="727">
      <c r="A727" s="44"/>
      <c r="E727" s="45"/>
      <c r="G727" s="45"/>
      <c r="H727" s="45"/>
    </row>
    <row r="728">
      <c r="A728" s="44"/>
      <c r="E728" s="45"/>
      <c r="G728" s="45"/>
      <c r="H728" s="45"/>
    </row>
    <row r="729">
      <c r="A729" s="44"/>
      <c r="E729" s="45"/>
      <c r="G729" s="45"/>
      <c r="H729" s="45"/>
    </row>
    <row r="730">
      <c r="A730" s="44"/>
      <c r="E730" s="45"/>
      <c r="G730" s="45"/>
      <c r="H730" s="45"/>
    </row>
    <row r="731">
      <c r="A731" s="44"/>
      <c r="E731" s="45"/>
      <c r="G731" s="45"/>
      <c r="H731" s="45"/>
    </row>
    <row r="732">
      <c r="A732" s="44"/>
      <c r="E732" s="45"/>
      <c r="G732" s="45"/>
      <c r="H732" s="45"/>
    </row>
    <row r="733">
      <c r="A733" s="44"/>
      <c r="E733" s="45"/>
      <c r="G733" s="45"/>
      <c r="H733" s="45"/>
    </row>
    <row r="734">
      <c r="A734" s="44"/>
      <c r="E734" s="45"/>
      <c r="G734" s="45"/>
      <c r="H734" s="45"/>
    </row>
    <row r="735">
      <c r="A735" s="44"/>
      <c r="E735" s="45"/>
      <c r="G735" s="45"/>
      <c r="H735" s="45"/>
    </row>
    <row r="736">
      <c r="A736" s="44"/>
      <c r="E736" s="45"/>
      <c r="G736" s="45"/>
      <c r="H736" s="45"/>
    </row>
    <row r="737">
      <c r="A737" s="44"/>
      <c r="E737" s="45"/>
      <c r="G737" s="45"/>
      <c r="H737" s="45"/>
    </row>
    <row r="738">
      <c r="A738" s="44"/>
      <c r="E738" s="45"/>
      <c r="G738" s="45"/>
      <c r="H738" s="45"/>
    </row>
    <row r="739">
      <c r="A739" s="44"/>
      <c r="E739" s="45"/>
      <c r="G739" s="45"/>
      <c r="H739" s="45"/>
    </row>
    <row r="740">
      <c r="A740" s="44"/>
      <c r="E740" s="45"/>
      <c r="G740" s="45"/>
      <c r="H740" s="45"/>
    </row>
    <row r="741">
      <c r="A741" s="44"/>
      <c r="E741" s="45"/>
      <c r="G741" s="45"/>
      <c r="H741" s="45"/>
    </row>
    <row r="742">
      <c r="A742" s="44"/>
      <c r="E742" s="45"/>
      <c r="G742" s="45"/>
      <c r="H742" s="45"/>
    </row>
    <row r="743">
      <c r="A743" s="44"/>
      <c r="E743" s="45"/>
      <c r="G743" s="45"/>
      <c r="H743" s="45"/>
    </row>
    <row r="744">
      <c r="A744" s="44"/>
      <c r="E744" s="45"/>
      <c r="G744" s="45"/>
      <c r="H744" s="45"/>
    </row>
    <row r="745">
      <c r="A745" s="44"/>
      <c r="E745" s="45"/>
      <c r="G745" s="45"/>
      <c r="H745" s="45"/>
    </row>
    <row r="746">
      <c r="A746" s="44"/>
      <c r="E746" s="45"/>
      <c r="G746" s="45"/>
      <c r="H746" s="45"/>
    </row>
    <row r="747">
      <c r="A747" s="44"/>
      <c r="E747" s="45"/>
      <c r="G747" s="45"/>
      <c r="H747" s="45"/>
    </row>
    <row r="748">
      <c r="A748" s="44"/>
      <c r="E748" s="45"/>
      <c r="G748" s="45"/>
      <c r="H748" s="45"/>
    </row>
    <row r="749">
      <c r="A749" s="44"/>
      <c r="E749" s="45"/>
      <c r="G749" s="45"/>
      <c r="H749" s="45"/>
    </row>
    <row r="750">
      <c r="A750" s="44"/>
      <c r="E750" s="45"/>
      <c r="G750" s="45"/>
      <c r="H750" s="45"/>
    </row>
    <row r="751">
      <c r="A751" s="44"/>
      <c r="E751" s="45"/>
      <c r="G751" s="45"/>
      <c r="H751" s="45"/>
    </row>
    <row r="752">
      <c r="A752" s="44"/>
      <c r="E752" s="45"/>
      <c r="G752" s="45"/>
      <c r="H752" s="45"/>
    </row>
    <row r="753">
      <c r="A753" s="44"/>
      <c r="E753" s="45"/>
      <c r="G753" s="45"/>
      <c r="H753" s="45"/>
    </row>
    <row r="754">
      <c r="A754" s="44"/>
      <c r="E754" s="45"/>
      <c r="G754" s="45"/>
      <c r="H754" s="45"/>
    </row>
    <row r="755">
      <c r="A755" s="44"/>
      <c r="E755" s="45"/>
      <c r="G755" s="45"/>
      <c r="H755" s="45"/>
    </row>
    <row r="756">
      <c r="A756" s="44"/>
      <c r="E756" s="45"/>
      <c r="G756" s="45"/>
      <c r="H756" s="45"/>
    </row>
    <row r="757">
      <c r="A757" s="44"/>
      <c r="E757" s="45"/>
      <c r="G757" s="45"/>
      <c r="H757" s="45"/>
    </row>
    <row r="758">
      <c r="A758" s="44"/>
      <c r="E758" s="45"/>
      <c r="G758" s="45"/>
      <c r="H758" s="45"/>
    </row>
    <row r="759">
      <c r="A759" s="44"/>
      <c r="E759" s="45"/>
      <c r="G759" s="45"/>
      <c r="H759" s="45"/>
    </row>
    <row r="760">
      <c r="A760" s="44"/>
      <c r="E760" s="45"/>
      <c r="G760" s="45"/>
      <c r="H760" s="45"/>
    </row>
    <row r="761">
      <c r="A761" s="44"/>
      <c r="E761" s="45"/>
      <c r="G761" s="45"/>
      <c r="H761" s="45"/>
    </row>
    <row r="762">
      <c r="A762" s="44"/>
      <c r="E762" s="45"/>
      <c r="G762" s="45"/>
      <c r="H762" s="45"/>
    </row>
    <row r="763">
      <c r="A763" s="44"/>
      <c r="E763" s="45"/>
      <c r="G763" s="45"/>
      <c r="H763" s="45"/>
    </row>
    <row r="764">
      <c r="A764" s="44"/>
      <c r="E764" s="45"/>
      <c r="G764" s="45"/>
      <c r="H764" s="45"/>
    </row>
    <row r="765">
      <c r="A765" s="44"/>
      <c r="E765" s="45"/>
      <c r="G765" s="45"/>
      <c r="H765" s="45"/>
    </row>
    <row r="766">
      <c r="A766" s="44"/>
      <c r="E766" s="45"/>
      <c r="G766" s="45"/>
      <c r="H766" s="45"/>
    </row>
    <row r="767">
      <c r="A767" s="44"/>
      <c r="E767" s="45"/>
      <c r="G767" s="45"/>
      <c r="H767" s="45"/>
    </row>
    <row r="768">
      <c r="A768" s="44"/>
      <c r="E768" s="45"/>
      <c r="G768" s="45"/>
      <c r="H768" s="45"/>
    </row>
    <row r="769">
      <c r="A769" s="44"/>
      <c r="E769" s="45"/>
      <c r="G769" s="45"/>
      <c r="H769" s="45"/>
    </row>
    <row r="770">
      <c r="A770" s="44"/>
      <c r="E770" s="45"/>
      <c r="G770" s="45"/>
      <c r="H770" s="45"/>
    </row>
    <row r="771">
      <c r="A771" s="44"/>
      <c r="E771" s="45"/>
      <c r="G771" s="45"/>
      <c r="H771" s="45"/>
    </row>
    <row r="772">
      <c r="A772" s="44"/>
      <c r="E772" s="45"/>
      <c r="G772" s="45"/>
      <c r="H772" s="45"/>
    </row>
    <row r="773">
      <c r="A773" s="44"/>
      <c r="E773" s="45"/>
      <c r="G773" s="45"/>
      <c r="H773" s="45"/>
    </row>
    <row r="774">
      <c r="A774" s="44"/>
      <c r="E774" s="45"/>
      <c r="G774" s="45"/>
      <c r="H774" s="45"/>
    </row>
    <row r="775">
      <c r="A775" s="44"/>
      <c r="E775" s="45"/>
      <c r="G775" s="45"/>
      <c r="H775" s="45"/>
    </row>
    <row r="776">
      <c r="A776" s="44"/>
      <c r="E776" s="45"/>
      <c r="G776" s="45"/>
      <c r="H776" s="45"/>
    </row>
    <row r="777">
      <c r="A777" s="44"/>
      <c r="E777" s="45"/>
      <c r="G777" s="45"/>
      <c r="H777" s="45"/>
    </row>
    <row r="778">
      <c r="A778" s="44"/>
      <c r="E778" s="45"/>
      <c r="G778" s="45"/>
      <c r="H778" s="45"/>
    </row>
    <row r="779">
      <c r="A779" s="44"/>
      <c r="E779" s="45"/>
      <c r="G779" s="45"/>
      <c r="H779" s="45"/>
    </row>
    <row r="780">
      <c r="A780" s="44"/>
      <c r="E780" s="45"/>
      <c r="G780" s="45"/>
      <c r="H780" s="45"/>
    </row>
    <row r="781">
      <c r="A781" s="44"/>
      <c r="E781" s="45"/>
      <c r="G781" s="45"/>
      <c r="H781" s="45"/>
    </row>
    <row r="782">
      <c r="A782" s="44"/>
      <c r="E782" s="45"/>
      <c r="G782" s="45"/>
      <c r="H782" s="45"/>
    </row>
    <row r="783">
      <c r="A783" s="44"/>
      <c r="E783" s="45"/>
      <c r="G783" s="45"/>
      <c r="H783" s="45"/>
    </row>
    <row r="784">
      <c r="A784" s="44"/>
      <c r="E784" s="45"/>
      <c r="G784" s="45"/>
      <c r="H784" s="45"/>
    </row>
    <row r="785">
      <c r="A785" s="44"/>
      <c r="E785" s="45"/>
      <c r="G785" s="45"/>
      <c r="H785" s="45"/>
    </row>
    <row r="786">
      <c r="A786" s="44"/>
      <c r="E786" s="45"/>
      <c r="G786" s="45"/>
      <c r="H786" s="45"/>
    </row>
    <row r="787">
      <c r="A787" s="44"/>
      <c r="E787" s="45"/>
      <c r="G787" s="45"/>
      <c r="H787" s="45"/>
    </row>
    <row r="788">
      <c r="A788" s="44"/>
      <c r="E788" s="45"/>
      <c r="G788" s="45"/>
      <c r="H788" s="45"/>
    </row>
    <row r="789">
      <c r="A789" s="44"/>
      <c r="E789" s="45"/>
      <c r="G789" s="45"/>
      <c r="H789" s="45"/>
    </row>
    <row r="790">
      <c r="A790" s="44"/>
      <c r="E790" s="45"/>
      <c r="G790" s="45"/>
      <c r="H790" s="45"/>
    </row>
    <row r="791">
      <c r="A791" s="44"/>
      <c r="E791" s="45"/>
      <c r="G791" s="45"/>
      <c r="H791" s="45"/>
    </row>
    <row r="792">
      <c r="A792" s="44"/>
      <c r="E792" s="45"/>
      <c r="G792" s="45"/>
      <c r="H792" s="45"/>
    </row>
    <row r="793">
      <c r="A793" s="44"/>
      <c r="E793" s="45"/>
      <c r="G793" s="45"/>
      <c r="H793" s="45"/>
    </row>
    <row r="794">
      <c r="A794" s="44"/>
      <c r="E794" s="45"/>
      <c r="G794" s="45"/>
      <c r="H794" s="45"/>
    </row>
    <row r="795">
      <c r="A795" s="44"/>
      <c r="E795" s="45"/>
      <c r="G795" s="45"/>
      <c r="H795" s="45"/>
    </row>
    <row r="796">
      <c r="A796" s="44"/>
      <c r="E796" s="45"/>
      <c r="G796" s="45"/>
      <c r="H796" s="45"/>
    </row>
    <row r="797">
      <c r="A797" s="44"/>
      <c r="E797" s="45"/>
      <c r="G797" s="45"/>
      <c r="H797" s="45"/>
    </row>
    <row r="798">
      <c r="A798" s="44"/>
      <c r="E798" s="45"/>
      <c r="G798" s="45"/>
      <c r="H798" s="45"/>
    </row>
    <row r="799">
      <c r="A799" s="44"/>
      <c r="E799" s="45"/>
      <c r="G799" s="45"/>
      <c r="H799" s="45"/>
    </row>
    <row r="800">
      <c r="A800" s="44"/>
      <c r="E800" s="45"/>
      <c r="G800" s="45"/>
      <c r="H800" s="45"/>
    </row>
    <row r="801">
      <c r="A801" s="44"/>
      <c r="E801" s="45"/>
      <c r="G801" s="45"/>
      <c r="H801" s="45"/>
    </row>
    <row r="802">
      <c r="A802" s="44"/>
      <c r="E802" s="45"/>
      <c r="G802" s="45"/>
      <c r="H802" s="45"/>
    </row>
    <row r="803">
      <c r="A803" s="44"/>
      <c r="E803" s="45"/>
      <c r="G803" s="45"/>
      <c r="H803" s="45"/>
    </row>
    <row r="804">
      <c r="A804" s="44"/>
      <c r="E804" s="45"/>
      <c r="G804" s="45"/>
      <c r="H804" s="45"/>
    </row>
    <row r="805">
      <c r="A805" s="44"/>
      <c r="E805" s="45"/>
      <c r="G805" s="45"/>
      <c r="H805" s="45"/>
    </row>
    <row r="806">
      <c r="A806" s="44"/>
      <c r="E806" s="45"/>
      <c r="G806" s="45"/>
      <c r="H806" s="45"/>
    </row>
    <row r="807">
      <c r="A807" s="44"/>
      <c r="E807" s="45"/>
      <c r="G807" s="45"/>
      <c r="H807" s="45"/>
    </row>
    <row r="808">
      <c r="A808" s="44"/>
      <c r="E808" s="45"/>
      <c r="G808" s="45"/>
      <c r="H808" s="45"/>
    </row>
    <row r="809">
      <c r="A809" s="44"/>
      <c r="E809" s="45"/>
      <c r="G809" s="45"/>
      <c r="H809" s="45"/>
    </row>
    <row r="810">
      <c r="A810" s="44"/>
      <c r="E810" s="45"/>
      <c r="G810" s="45"/>
      <c r="H810" s="45"/>
    </row>
    <row r="811">
      <c r="A811" s="44"/>
      <c r="E811" s="45"/>
      <c r="G811" s="45"/>
      <c r="H811" s="45"/>
    </row>
    <row r="812">
      <c r="A812" s="44"/>
      <c r="E812" s="45"/>
      <c r="G812" s="45"/>
      <c r="H812" s="45"/>
    </row>
    <row r="813">
      <c r="A813" s="44"/>
      <c r="E813" s="45"/>
      <c r="G813" s="45"/>
      <c r="H813" s="45"/>
    </row>
    <row r="814">
      <c r="A814" s="44"/>
      <c r="E814" s="45"/>
      <c r="G814" s="45"/>
      <c r="H814" s="45"/>
    </row>
    <row r="815">
      <c r="A815" s="44"/>
      <c r="E815" s="45"/>
      <c r="G815" s="45"/>
      <c r="H815" s="45"/>
    </row>
    <row r="816">
      <c r="A816" s="44"/>
      <c r="E816" s="45"/>
      <c r="G816" s="45"/>
      <c r="H816" s="45"/>
    </row>
    <row r="817">
      <c r="A817" s="44"/>
      <c r="E817" s="45"/>
      <c r="G817" s="45"/>
      <c r="H817" s="45"/>
    </row>
    <row r="818">
      <c r="A818" s="44"/>
      <c r="E818" s="45"/>
      <c r="G818" s="45"/>
      <c r="H818" s="45"/>
    </row>
    <row r="819">
      <c r="A819" s="44"/>
      <c r="E819" s="45"/>
      <c r="G819" s="45"/>
      <c r="H819" s="45"/>
    </row>
    <row r="820">
      <c r="A820" s="44"/>
      <c r="E820" s="45"/>
      <c r="G820" s="45"/>
      <c r="H820" s="45"/>
    </row>
    <row r="821">
      <c r="A821" s="44"/>
      <c r="E821" s="45"/>
      <c r="G821" s="45"/>
      <c r="H821" s="45"/>
    </row>
    <row r="822">
      <c r="A822" s="44"/>
      <c r="E822" s="45"/>
      <c r="G822" s="45"/>
      <c r="H822" s="45"/>
    </row>
    <row r="823">
      <c r="A823" s="44"/>
      <c r="E823" s="45"/>
      <c r="G823" s="45"/>
      <c r="H823" s="45"/>
    </row>
    <row r="824">
      <c r="A824" s="44"/>
      <c r="E824" s="45"/>
      <c r="G824" s="45"/>
      <c r="H824" s="45"/>
    </row>
    <row r="825">
      <c r="A825" s="44"/>
      <c r="E825" s="45"/>
      <c r="G825" s="45"/>
      <c r="H825" s="45"/>
    </row>
    <row r="826">
      <c r="A826" s="44"/>
      <c r="E826" s="45"/>
      <c r="G826" s="45"/>
      <c r="H826" s="45"/>
    </row>
    <row r="827">
      <c r="A827" s="44"/>
      <c r="E827" s="45"/>
      <c r="G827" s="45"/>
      <c r="H827" s="45"/>
    </row>
    <row r="828">
      <c r="A828" s="44"/>
      <c r="E828" s="45"/>
      <c r="G828" s="45"/>
      <c r="H828" s="45"/>
    </row>
    <row r="829">
      <c r="A829" s="44"/>
      <c r="E829" s="45"/>
      <c r="G829" s="45"/>
      <c r="H829" s="45"/>
    </row>
    <row r="830">
      <c r="A830" s="44"/>
      <c r="E830" s="45"/>
      <c r="G830" s="45"/>
      <c r="H830" s="45"/>
    </row>
    <row r="831">
      <c r="A831" s="44"/>
      <c r="E831" s="45"/>
      <c r="G831" s="45"/>
      <c r="H831" s="45"/>
    </row>
    <row r="832">
      <c r="A832" s="44"/>
      <c r="E832" s="45"/>
      <c r="G832" s="45"/>
      <c r="H832" s="45"/>
    </row>
    <row r="833">
      <c r="A833" s="44"/>
      <c r="E833" s="45"/>
      <c r="G833" s="45"/>
      <c r="H833" s="45"/>
    </row>
    <row r="834">
      <c r="A834" s="44"/>
      <c r="E834" s="45"/>
      <c r="G834" s="45"/>
      <c r="H834" s="45"/>
    </row>
    <row r="835">
      <c r="A835" s="44"/>
      <c r="E835" s="45"/>
      <c r="G835" s="45"/>
      <c r="H835" s="45"/>
    </row>
    <row r="836">
      <c r="A836" s="44"/>
      <c r="E836" s="45"/>
      <c r="G836" s="45"/>
      <c r="H836" s="45"/>
    </row>
    <row r="837">
      <c r="A837" s="44"/>
      <c r="E837" s="45"/>
      <c r="G837" s="45"/>
      <c r="H837" s="45"/>
    </row>
    <row r="838">
      <c r="A838" s="44"/>
      <c r="E838" s="45"/>
      <c r="G838" s="45"/>
      <c r="H838" s="45"/>
    </row>
    <row r="839">
      <c r="A839" s="44"/>
      <c r="E839" s="45"/>
      <c r="G839" s="45"/>
      <c r="H839" s="45"/>
    </row>
    <row r="840">
      <c r="A840" s="44"/>
      <c r="E840" s="45"/>
      <c r="G840" s="45"/>
      <c r="H840" s="45"/>
    </row>
    <row r="841">
      <c r="A841" s="44"/>
      <c r="E841" s="45"/>
      <c r="G841" s="45"/>
      <c r="H841" s="45"/>
    </row>
    <row r="842">
      <c r="A842" s="44"/>
      <c r="E842" s="45"/>
      <c r="G842" s="45"/>
      <c r="H842" s="45"/>
    </row>
    <row r="843">
      <c r="A843" s="44"/>
      <c r="E843" s="45"/>
      <c r="G843" s="45"/>
      <c r="H843" s="45"/>
    </row>
    <row r="844">
      <c r="A844" s="44"/>
      <c r="E844" s="45"/>
      <c r="G844" s="45"/>
      <c r="H844" s="45"/>
    </row>
    <row r="845">
      <c r="A845" s="44"/>
      <c r="E845" s="45"/>
      <c r="G845" s="45"/>
      <c r="H845" s="45"/>
    </row>
    <row r="846">
      <c r="A846" s="44"/>
      <c r="E846" s="45"/>
      <c r="G846" s="45"/>
      <c r="H846" s="45"/>
    </row>
    <row r="847">
      <c r="A847" s="44"/>
      <c r="E847" s="45"/>
      <c r="G847" s="45"/>
      <c r="H847" s="45"/>
    </row>
    <row r="848">
      <c r="A848" s="44"/>
      <c r="E848" s="45"/>
      <c r="G848" s="45"/>
      <c r="H848" s="45"/>
    </row>
    <row r="849">
      <c r="A849" s="44"/>
      <c r="E849" s="45"/>
      <c r="G849" s="45"/>
      <c r="H849" s="45"/>
    </row>
    <row r="850">
      <c r="A850" s="44"/>
      <c r="E850" s="45"/>
      <c r="G850" s="45"/>
      <c r="H850" s="45"/>
    </row>
    <row r="851">
      <c r="A851" s="44"/>
      <c r="E851" s="45"/>
      <c r="G851" s="45"/>
      <c r="H851" s="45"/>
    </row>
    <row r="852">
      <c r="A852" s="44"/>
      <c r="E852" s="45"/>
      <c r="G852" s="45"/>
      <c r="H852" s="45"/>
    </row>
    <row r="853">
      <c r="A853" s="44"/>
      <c r="E853" s="45"/>
      <c r="G853" s="45"/>
      <c r="H853" s="45"/>
    </row>
    <row r="854">
      <c r="A854" s="44"/>
      <c r="E854" s="45"/>
      <c r="G854" s="45"/>
      <c r="H854" s="45"/>
    </row>
    <row r="855">
      <c r="A855" s="44"/>
      <c r="E855" s="45"/>
      <c r="G855" s="45"/>
      <c r="H855" s="45"/>
    </row>
    <row r="856">
      <c r="A856" s="44"/>
      <c r="E856" s="45"/>
      <c r="G856" s="45"/>
      <c r="H856" s="45"/>
    </row>
    <row r="857">
      <c r="A857" s="44"/>
      <c r="E857" s="45"/>
      <c r="G857" s="45"/>
      <c r="H857" s="45"/>
    </row>
    <row r="858">
      <c r="A858" s="44"/>
      <c r="E858" s="45"/>
      <c r="G858" s="45"/>
      <c r="H858" s="45"/>
    </row>
    <row r="859">
      <c r="A859" s="44"/>
      <c r="E859" s="45"/>
      <c r="G859" s="45"/>
      <c r="H859" s="45"/>
    </row>
    <row r="860">
      <c r="A860" s="44"/>
      <c r="E860" s="45"/>
      <c r="G860" s="45"/>
      <c r="H860" s="45"/>
    </row>
    <row r="861">
      <c r="A861" s="44"/>
      <c r="E861" s="45"/>
      <c r="G861" s="45"/>
      <c r="H861" s="45"/>
    </row>
    <row r="862">
      <c r="A862" s="44"/>
      <c r="E862" s="45"/>
      <c r="G862" s="45"/>
      <c r="H862" s="45"/>
    </row>
    <row r="863">
      <c r="A863" s="44"/>
      <c r="E863" s="45"/>
      <c r="G863" s="45"/>
      <c r="H863" s="45"/>
    </row>
    <row r="864">
      <c r="A864" s="44"/>
      <c r="E864" s="45"/>
      <c r="G864" s="45"/>
      <c r="H864" s="45"/>
    </row>
    <row r="865">
      <c r="A865" s="44"/>
      <c r="E865" s="45"/>
      <c r="G865" s="45"/>
      <c r="H865" s="45"/>
    </row>
    <row r="866">
      <c r="A866" s="44"/>
      <c r="E866" s="45"/>
      <c r="G866" s="45"/>
      <c r="H866" s="45"/>
    </row>
    <row r="867">
      <c r="A867" s="44"/>
      <c r="E867" s="45"/>
      <c r="G867" s="45"/>
      <c r="H867" s="45"/>
    </row>
    <row r="868">
      <c r="A868" s="44"/>
      <c r="E868" s="45"/>
      <c r="G868" s="45"/>
      <c r="H868" s="45"/>
    </row>
    <row r="869">
      <c r="A869" s="44"/>
      <c r="E869" s="45"/>
      <c r="G869" s="45"/>
      <c r="H869" s="45"/>
    </row>
    <row r="870">
      <c r="A870" s="44"/>
      <c r="E870" s="45"/>
      <c r="G870" s="45"/>
      <c r="H870" s="45"/>
    </row>
    <row r="871">
      <c r="A871" s="44"/>
      <c r="E871" s="45"/>
      <c r="G871" s="45"/>
      <c r="H871" s="45"/>
    </row>
    <row r="872">
      <c r="A872" s="44"/>
      <c r="E872" s="45"/>
      <c r="G872" s="45"/>
      <c r="H872" s="45"/>
    </row>
    <row r="873">
      <c r="A873" s="44"/>
      <c r="E873" s="45"/>
      <c r="G873" s="45"/>
      <c r="H873" s="45"/>
    </row>
    <row r="874">
      <c r="A874" s="44"/>
      <c r="E874" s="45"/>
      <c r="G874" s="45"/>
      <c r="H874" s="45"/>
    </row>
    <row r="875">
      <c r="A875" s="44"/>
      <c r="E875" s="45"/>
      <c r="G875" s="45"/>
      <c r="H875" s="45"/>
    </row>
    <row r="876">
      <c r="A876" s="44"/>
      <c r="E876" s="45"/>
      <c r="G876" s="45"/>
      <c r="H876" s="45"/>
    </row>
    <row r="877">
      <c r="A877" s="44"/>
      <c r="E877" s="45"/>
      <c r="G877" s="45"/>
      <c r="H877" s="45"/>
    </row>
    <row r="878">
      <c r="A878" s="44"/>
      <c r="E878" s="45"/>
      <c r="G878" s="45"/>
      <c r="H878" s="45"/>
    </row>
    <row r="879">
      <c r="A879" s="44"/>
      <c r="E879" s="45"/>
      <c r="G879" s="45"/>
      <c r="H879" s="45"/>
    </row>
    <row r="880">
      <c r="A880" s="44"/>
      <c r="E880" s="45"/>
      <c r="G880" s="45"/>
      <c r="H880" s="45"/>
    </row>
    <row r="881">
      <c r="A881" s="44"/>
      <c r="E881" s="45"/>
      <c r="G881" s="45"/>
      <c r="H881" s="45"/>
    </row>
    <row r="882">
      <c r="A882" s="44"/>
      <c r="E882" s="45"/>
      <c r="G882" s="45"/>
      <c r="H882" s="45"/>
    </row>
    <row r="883">
      <c r="A883" s="44"/>
      <c r="E883" s="45"/>
      <c r="G883" s="45"/>
      <c r="H883" s="45"/>
    </row>
    <row r="884">
      <c r="A884" s="44"/>
      <c r="E884" s="45"/>
      <c r="G884" s="45"/>
      <c r="H884" s="45"/>
    </row>
    <row r="885">
      <c r="A885" s="44"/>
      <c r="E885" s="45"/>
      <c r="G885" s="45"/>
      <c r="H885" s="45"/>
    </row>
    <row r="886">
      <c r="A886" s="44"/>
      <c r="E886" s="45"/>
      <c r="G886" s="45"/>
      <c r="H886" s="45"/>
    </row>
    <row r="887">
      <c r="A887" s="44"/>
      <c r="E887" s="45"/>
      <c r="G887" s="45"/>
      <c r="H887" s="45"/>
    </row>
    <row r="888">
      <c r="A888" s="44"/>
      <c r="E888" s="45"/>
      <c r="G888" s="45"/>
      <c r="H888" s="45"/>
    </row>
    <row r="889">
      <c r="A889" s="44"/>
      <c r="E889" s="45"/>
      <c r="G889" s="45"/>
      <c r="H889" s="45"/>
    </row>
    <row r="890">
      <c r="A890" s="44"/>
      <c r="E890" s="45"/>
      <c r="G890" s="45"/>
      <c r="H890" s="45"/>
    </row>
    <row r="891">
      <c r="A891" s="44"/>
      <c r="E891" s="45"/>
      <c r="G891" s="45"/>
      <c r="H891" s="45"/>
    </row>
    <row r="892">
      <c r="A892" s="44"/>
      <c r="E892" s="45"/>
      <c r="G892" s="45"/>
      <c r="H892" s="45"/>
    </row>
    <row r="893">
      <c r="A893" s="44"/>
      <c r="E893" s="45"/>
      <c r="G893" s="45"/>
      <c r="H893" s="45"/>
    </row>
    <row r="894">
      <c r="A894" s="44"/>
      <c r="E894" s="45"/>
      <c r="G894" s="45"/>
      <c r="H894" s="45"/>
    </row>
    <row r="895">
      <c r="A895" s="44"/>
      <c r="E895" s="45"/>
      <c r="G895" s="45"/>
      <c r="H895" s="45"/>
    </row>
    <row r="896">
      <c r="A896" s="44"/>
      <c r="E896" s="45"/>
      <c r="G896" s="45"/>
      <c r="H896" s="45"/>
    </row>
    <row r="897">
      <c r="A897" s="44"/>
      <c r="E897" s="45"/>
      <c r="G897" s="45"/>
      <c r="H897" s="45"/>
    </row>
    <row r="898">
      <c r="A898" s="44"/>
      <c r="E898" s="45"/>
      <c r="G898" s="45"/>
      <c r="H898" s="45"/>
    </row>
    <row r="899">
      <c r="A899" s="44"/>
      <c r="E899" s="45"/>
      <c r="G899" s="45"/>
      <c r="H899" s="45"/>
    </row>
    <row r="900">
      <c r="A900" s="44"/>
      <c r="E900" s="45"/>
      <c r="G900" s="45"/>
      <c r="H900" s="45"/>
    </row>
    <row r="901">
      <c r="A901" s="44"/>
      <c r="E901" s="45"/>
      <c r="G901" s="45"/>
      <c r="H901" s="45"/>
    </row>
    <row r="902">
      <c r="A902" s="44"/>
      <c r="E902" s="45"/>
      <c r="G902" s="45"/>
      <c r="H902" s="45"/>
    </row>
    <row r="903">
      <c r="A903" s="44"/>
      <c r="E903" s="45"/>
      <c r="G903" s="45"/>
      <c r="H903" s="45"/>
    </row>
    <row r="904">
      <c r="A904" s="44"/>
      <c r="E904" s="45"/>
      <c r="G904" s="45"/>
      <c r="H904" s="45"/>
    </row>
    <row r="905">
      <c r="A905" s="44"/>
      <c r="E905" s="45"/>
      <c r="G905" s="45"/>
      <c r="H905" s="45"/>
    </row>
    <row r="906">
      <c r="A906" s="44"/>
      <c r="E906" s="45"/>
      <c r="G906" s="45"/>
      <c r="H906" s="45"/>
    </row>
    <row r="907">
      <c r="A907" s="44"/>
      <c r="E907" s="45"/>
      <c r="G907" s="45"/>
      <c r="H907" s="45"/>
    </row>
    <row r="908">
      <c r="A908" s="44"/>
      <c r="E908" s="45"/>
      <c r="G908" s="45"/>
      <c r="H908" s="45"/>
    </row>
    <row r="909">
      <c r="A909" s="44"/>
      <c r="E909" s="45"/>
      <c r="G909" s="45"/>
      <c r="H909" s="45"/>
    </row>
    <row r="910">
      <c r="A910" s="44"/>
      <c r="E910" s="45"/>
      <c r="G910" s="45"/>
      <c r="H910" s="45"/>
    </row>
    <row r="911">
      <c r="A911" s="44"/>
      <c r="E911" s="45"/>
      <c r="G911" s="45"/>
      <c r="H911" s="45"/>
    </row>
    <row r="912">
      <c r="A912" s="44"/>
      <c r="E912" s="45"/>
      <c r="G912" s="45"/>
      <c r="H912" s="45"/>
    </row>
    <row r="913">
      <c r="A913" s="44"/>
      <c r="E913" s="45"/>
      <c r="G913" s="45"/>
      <c r="H913" s="45"/>
    </row>
    <row r="914">
      <c r="A914" s="44"/>
      <c r="E914" s="45"/>
      <c r="G914" s="45"/>
      <c r="H914" s="45"/>
    </row>
    <row r="915">
      <c r="A915" s="44"/>
      <c r="E915" s="45"/>
      <c r="G915" s="45"/>
      <c r="H915" s="45"/>
    </row>
    <row r="916">
      <c r="A916" s="44"/>
      <c r="E916" s="45"/>
      <c r="G916" s="45"/>
      <c r="H916" s="45"/>
    </row>
    <row r="917">
      <c r="A917" s="44"/>
      <c r="E917" s="45"/>
      <c r="G917" s="45"/>
      <c r="H917" s="45"/>
    </row>
    <row r="918">
      <c r="A918" s="44"/>
      <c r="E918" s="45"/>
      <c r="G918" s="45"/>
      <c r="H918" s="45"/>
    </row>
    <row r="919">
      <c r="A919" s="44"/>
      <c r="E919" s="45"/>
      <c r="G919" s="45"/>
      <c r="H919" s="45"/>
    </row>
    <row r="920">
      <c r="A920" s="44"/>
      <c r="E920" s="45"/>
      <c r="G920" s="45"/>
      <c r="H920" s="45"/>
    </row>
    <row r="921">
      <c r="A921" s="44"/>
      <c r="E921" s="45"/>
      <c r="G921" s="45"/>
      <c r="H921" s="45"/>
    </row>
    <row r="922">
      <c r="A922" s="44"/>
      <c r="E922" s="45"/>
      <c r="G922" s="45"/>
      <c r="H922" s="45"/>
    </row>
    <row r="923">
      <c r="A923" s="44"/>
      <c r="E923" s="45"/>
      <c r="G923" s="45"/>
      <c r="H923" s="45"/>
    </row>
    <row r="924">
      <c r="A924" s="44"/>
      <c r="E924" s="45"/>
      <c r="G924" s="45"/>
      <c r="H924" s="45"/>
    </row>
    <row r="925">
      <c r="A925" s="44"/>
      <c r="E925" s="45"/>
      <c r="G925" s="45"/>
      <c r="H925" s="45"/>
    </row>
    <row r="926">
      <c r="A926" s="44"/>
      <c r="E926" s="45"/>
      <c r="G926" s="45"/>
      <c r="H926" s="45"/>
    </row>
    <row r="927">
      <c r="A927" s="44"/>
      <c r="E927" s="45"/>
      <c r="G927" s="45"/>
      <c r="H927" s="45"/>
    </row>
    <row r="928">
      <c r="A928" s="44"/>
      <c r="E928" s="45"/>
      <c r="G928" s="45"/>
      <c r="H928" s="45"/>
    </row>
    <row r="929">
      <c r="A929" s="44"/>
      <c r="E929" s="45"/>
      <c r="G929" s="45"/>
      <c r="H929" s="45"/>
    </row>
    <row r="930">
      <c r="A930" s="44"/>
      <c r="E930" s="45"/>
      <c r="G930" s="45"/>
      <c r="H930" s="45"/>
    </row>
    <row r="931">
      <c r="A931" s="44"/>
      <c r="E931" s="45"/>
      <c r="G931" s="45"/>
      <c r="H931" s="45"/>
    </row>
    <row r="932">
      <c r="A932" s="44"/>
      <c r="E932" s="45"/>
      <c r="G932" s="45"/>
      <c r="H932" s="45"/>
    </row>
    <row r="933">
      <c r="A933" s="44"/>
      <c r="E933" s="45"/>
      <c r="G933" s="45"/>
      <c r="H933" s="45"/>
    </row>
    <row r="934">
      <c r="A934" s="44"/>
      <c r="E934" s="45"/>
      <c r="G934" s="45"/>
      <c r="H934" s="45"/>
    </row>
    <row r="935">
      <c r="A935" s="44"/>
      <c r="E935" s="45"/>
      <c r="G935" s="45"/>
      <c r="H935" s="45"/>
    </row>
    <row r="936">
      <c r="A936" s="44"/>
      <c r="E936" s="45"/>
      <c r="G936" s="45"/>
      <c r="H936" s="45"/>
    </row>
    <row r="937">
      <c r="A937" s="44"/>
      <c r="E937" s="45"/>
      <c r="G937" s="45"/>
      <c r="H937" s="45"/>
    </row>
    <row r="938">
      <c r="A938" s="44"/>
      <c r="E938" s="45"/>
      <c r="G938" s="45"/>
      <c r="H938" s="45"/>
    </row>
    <row r="939">
      <c r="A939" s="44"/>
      <c r="E939" s="45"/>
      <c r="G939" s="45"/>
      <c r="H939" s="45"/>
    </row>
    <row r="940">
      <c r="A940" s="44"/>
      <c r="E940" s="45"/>
      <c r="G940" s="45"/>
      <c r="H940" s="45"/>
    </row>
    <row r="941">
      <c r="A941" s="44"/>
      <c r="E941" s="45"/>
      <c r="G941" s="45"/>
      <c r="H941" s="45"/>
    </row>
    <row r="942">
      <c r="A942" s="44"/>
      <c r="E942" s="45"/>
      <c r="G942" s="45"/>
      <c r="H942" s="45"/>
    </row>
    <row r="943">
      <c r="A943" s="44"/>
      <c r="E943" s="45"/>
      <c r="G943" s="45"/>
      <c r="H943" s="45"/>
    </row>
    <row r="944">
      <c r="A944" s="44"/>
      <c r="E944" s="45"/>
      <c r="G944" s="45"/>
      <c r="H944" s="45"/>
    </row>
    <row r="945">
      <c r="A945" s="44"/>
      <c r="E945" s="45"/>
      <c r="G945" s="45"/>
      <c r="H945" s="45"/>
    </row>
    <row r="946">
      <c r="A946" s="44"/>
      <c r="E946" s="45"/>
      <c r="G946" s="45"/>
      <c r="H946" s="45"/>
    </row>
    <row r="947">
      <c r="A947" s="44"/>
      <c r="E947" s="45"/>
      <c r="G947" s="45"/>
      <c r="H947" s="45"/>
    </row>
    <row r="948">
      <c r="A948" s="44"/>
      <c r="E948" s="45"/>
      <c r="G948" s="45"/>
      <c r="H948" s="45"/>
    </row>
    <row r="949">
      <c r="A949" s="44"/>
      <c r="E949" s="45"/>
      <c r="G949" s="45"/>
      <c r="H949" s="45"/>
    </row>
    <row r="950">
      <c r="A950" s="44"/>
      <c r="E950" s="45"/>
      <c r="G950" s="45"/>
      <c r="H950" s="45"/>
    </row>
    <row r="951">
      <c r="A951" s="44"/>
      <c r="E951" s="45"/>
      <c r="G951" s="45"/>
      <c r="H951" s="45"/>
    </row>
    <row r="952">
      <c r="A952" s="44"/>
      <c r="E952" s="45"/>
      <c r="G952" s="45"/>
      <c r="H952" s="45"/>
    </row>
    <row r="953">
      <c r="A953" s="44"/>
      <c r="E953" s="45"/>
      <c r="G953" s="45"/>
      <c r="H953" s="45"/>
    </row>
    <row r="954">
      <c r="A954" s="44"/>
      <c r="E954" s="45"/>
      <c r="G954" s="45"/>
      <c r="H954" s="45"/>
    </row>
    <row r="955">
      <c r="A955" s="44"/>
      <c r="E955" s="45"/>
      <c r="G955" s="45"/>
      <c r="H955" s="45"/>
    </row>
    <row r="956">
      <c r="A956" s="44"/>
      <c r="E956" s="45"/>
      <c r="G956" s="45"/>
      <c r="H956" s="45"/>
    </row>
    <row r="957">
      <c r="A957" s="44"/>
      <c r="E957" s="45"/>
      <c r="G957" s="45"/>
      <c r="H957" s="45"/>
    </row>
    <row r="958">
      <c r="A958" s="44"/>
      <c r="E958" s="45"/>
      <c r="G958" s="45"/>
      <c r="H958" s="45"/>
    </row>
    <row r="959">
      <c r="A959" s="44"/>
      <c r="E959" s="45"/>
      <c r="G959" s="45"/>
      <c r="H959" s="45"/>
    </row>
    <row r="960">
      <c r="A960" s="44"/>
      <c r="E960" s="45"/>
      <c r="G960" s="45"/>
      <c r="H960" s="45"/>
    </row>
    <row r="961">
      <c r="A961" s="44"/>
      <c r="E961" s="45"/>
      <c r="G961" s="45"/>
      <c r="H961" s="45"/>
    </row>
    <row r="962">
      <c r="A962" s="44"/>
      <c r="E962" s="45"/>
      <c r="G962" s="45"/>
      <c r="H962" s="45"/>
    </row>
    <row r="963">
      <c r="A963" s="44"/>
      <c r="E963" s="45"/>
      <c r="G963" s="45"/>
      <c r="H963" s="45"/>
    </row>
    <row r="964">
      <c r="A964" s="44"/>
      <c r="E964" s="45"/>
      <c r="G964" s="45"/>
      <c r="H964" s="45"/>
    </row>
    <row r="965">
      <c r="A965" s="44"/>
      <c r="E965" s="45"/>
      <c r="G965" s="45"/>
      <c r="H965" s="45"/>
    </row>
    <row r="966">
      <c r="A966" s="44"/>
      <c r="E966" s="45"/>
      <c r="G966" s="45"/>
      <c r="H966" s="45"/>
    </row>
    <row r="967">
      <c r="A967" s="44"/>
      <c r="E967" s="45"/>
      <c r="G967" s="45"/>
      <c r="H967" s="45"/>
    </row>
    <row r="968">
      <c r="A968" s="44"/>
      <c r="E968" s="45"/>
      <c r="G968" s="45"/>
      <c r="H968" s="45"/>
    </row>
    <row r="969">
      <c r="A969" s="44"/>
      <c r="E969" s="45"/>
      <c r="G969" s="45"/>
      <c r="H969" s="45"/>
    </row>
    <row r="970">
      <c r="A970" s="44"/>
      <c r="E970" s="45"/>
      <c r="G970" s="45"/>
      <c r="H970" s="45"/>
    </row>
    <row r="971">
      <c r="A971" s="44"/>
      <c r="E971" s="45"/>
      <c r="G971" s="45"/>
      <c r="H971" s="45"/>
    </row>
    <row r="972">
      <c r="A972" s="44"/>
      <c r="E972" s="45"/>
      <c r="G972" s="45"/>
      <c r="H972" s="45"/>
    </row>
    <row r="973">
      <c r="A973" s="44"/>
      <c r="E973" s="45"/>
      <c r="G973" s="45"/>
      <c r="H973" s="45"/>
    </row>
    <row r="974">
      <c r="A974" s="44"/>
      <c r="E974" s="45"/>
      <c r="G974" s="45"/>
      <c r="H974" s="45"/>
    </row>
    <row r="975">
      <c r="A975" s="44"/>
      <c r="E975" s="45"/>
      <c r="G975" s="45"/>
      <c r="H975" s="45"/>
    </row>
    <row r="976">
      <c r="A976" s="44"/>
      <c r="E976" s="45"/>
      <c r="G976" s="45"/>
      <c r="H976" s="45"/>
    </row>
    <row r="977">
      <c r="A977" s="44"/>
      <c r="E977" s="45"/>
      <c r="G977" s="45"/>
      <c r="H977" s="45"/>
    </row>
    <row r="978">
      <c r="A978" s="44"/>
      <c r="E978" s="45"/>
      <c r="G978" s="45"/>
      <c r="H978" s="45"/>
    </row>
    <row r="979">
      <c r="A979" s="44"/>
      <c r="E979" s="45"/>
      <c r="G979" s="45"/>
      <c r="H979" s="45"/>
    </row>
    <row r="980">
      <c r="A980" s="44"/>
      <c r="E980" s="45"/>
      <c r="G980" s="45"/>
      <c r="H980" s="45"/>
    </row>
    <row r="981">
      <c r="A981" s="44"/>
      <c r="E981" s="45"/>
      <c r="G981" s="45"/>
      <c r="H981" s="45"/>
    </row>
    <row r="982">
      <c r="A982" s="44"/>
      <c r="E982" s="45"/>
      <c r="G982" s="45"/>
      <c r="H982" s="45"/>
    </row>
    <row r="983">
      <c r="A983" s="44"/>
      <c r="E983" s="45"/>
      <c r="G983" s="45"/>
      <c r="H983" s="45"/>
    </row>
    <row r="984">
      <c r="A984" s="44"/>
      <c r="E984" s="45"/>
      <c r="G984" s="45"/>
      <c r="H984" s="45"/>
    </row>
    <row r="985">
      <c r="A985" s="44"/>
      <c r="E985" s="45"/>
      <c r="G985" s="45"/>
      <c r="H985" s="45"/>
    </row>
    <row r="986">
      <c r="A986" s="44"/>
      <c r="E986" s="45"/>
      <c r="G986" s="45"/>
      <c r="H986" s="45"/>
    </row>
    <row r="987">
      <c r="A987" s="44"/>
      <c r="E987" s="45"/>
      <c r="G987" s="45"/>
      <c r="H987" s="45"/>
    </row>
    <row r="988">
      <c r="A988" s="44"/>
      <c r="E988" s="45"/>
      <c r="G988" s="45"/>
      <c r="H988" s="45"/>
    </row>
    <row r="989">
      <c r="A989" s="44"/>
      <c r="E989" s="45"/>
      <c r="G989" s="45"/>
      <c r="H989" s="45"/>
    </row>
    <row r="990">
      <c r="A990" s="44"/>
      <c r="E990" s="45"/>
      <c r="G990" s="45"/>
      <c r="H990" s="45"/>
    </row>
    <row r="991">
      <c r="A991" s="44"/>
      <c r="E991" s="45"/>
      <c r="G991" s="45"/>
      <c r="H991" s="45"/>
    </row>
    <row r="992">
      <c r="A992" s="44"/>
      <c r="E992" s="45"/>
      <c r="G992" s="45"/>
      <c r="H992" s="45"/>
    </row>
    <row r="993">
      <c r="A993" s="44"/>
      <c r="E993" s="45"/>
      <c r="G993" s="45"/>
      <c r="H993" s="45"/>
    </row>
    <row r="994">
      <c r="A994" s="44"/>
      <c r="E994" s="45"/>
      <c r="G994" s="45"/>
      <c r="H994" s="45"/>
    </row>
    <row r="995">
      <c r="A995" s="44"/>
      <c r="E995" s="45"/>
      <c r="G995" s="45"/>
      <c r="H995" s="45"/>
    </row>
    <row r="996">
      <c r="A996" s="44"/>
      <c r="E996" s="45"/>
      <c r="G996" s="45"/>
      <c r="H996" s="45"/>
    </row>
    <row r="997">
      <c r="A997" s="44"/>
      <c r="E997" s="45"/>
      <c r="G997" s="45"/>
      <c r="H997" s="45"/>
    </row>
    <row r="998">
      <c r="A998" s="44"/>
      <c r="E998" s="45"/>
      <c r="G998" s="45"/>
      <c r="H998" s="45"/>
    </row>
    <row r="999">
      <c r="A999" s="44"/>
      <c r="E999" s="45"/>
      <c r="G999" s="45"/>
      <c r="H999" s="45"/>
    </row>
    <row r="1000">
      <c r="A1000" s="44"/>
      <c r="E1000" s="45"/>
      <c r="G1000" s="45"/>
      <c r="H1000" s="45"/>
    </row>
    <row r="1001">
      <c r="A1001" s="44"/>
      <c r="E1001" s="45"/>
      <c r="G1001" s="45"/>
      <c r="H1001" s="45"/>
    </row>
    <row r="1002">
      <c r="A1002" s="44"/>
      <c r="E1002" s="45"/>
      <c r="G1002" s="45"/>
      <c r="H1002" s="45"/>
    </row>
    <row r="1003">
      <c r="A1003" s="44"/>
      <c r="E1003" s="45"/>
      <c r="G1003" s="45"/>
      <c r="H1003" s="45"/>
    </row>
    <row r="1004">
      <c r="A1004" s="44"/>
      <c r="E1004" s="45"/>
      <c r="G1004" s="45"/>
      <c r="H1004" s="45"/>
    </row>
    <row r="1005">
      <c r="A1005" s="44"/>
      <c r="E1005" s="45"/>
      <c r="G1005" s="45"/>
      <c r="H1005" s="45"/>
    </row>
    <row r="1006">
      <c r="A1006" s="44"/>
      <c r="E1006" s="45"/>
      <c r="G1006" s="45"/>
      <c r="H1006" s="45"/>
    </row>
  </sheetData>
  <autoFilter ref="$A$1:$P$51">
    <sortState ref="A1:P51">
      <sortCondition ref="D1:D51"/>
      <sortCondition ref="E1:E51"/>
    </sortState>
  </autoFilter>
  <mergeCells count="12">
    <mergeCell ref="B42:P42"/>
    <mergeCell ref="B44:P44"/>
    <mergeCell ref="B47:P47"/>
    <mergeCell ref="B50:P50"/>
    <mergeCell ref="B51:P51"/>
    <mergeCell ref="B3:P3"/>
    <mergeCell ref="B16:P16"/>
    <mergeCell ref="B21:P21"/>
    <mergeCell ref="B23:P23"/>
    <mergeCell ref="B25:P25"/>
    <mergeCell ref="B27:P27"/>
    <mergeCell ref="B29:P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1.88"/>
    <col customWidth="1" min="3" max="5" width="18.88"/>
    <col customWidth="1" min="6" max="6" width="22.88"/>
    <col customWidth="1" min="7" max="7" width="55.63"/>
  </cols>
  <sheetData>
    <row r="1" ht="22.5" customHeight="1">
      <c r="A1" s="46" t="s">
        <v>247</v>
      </c>
      <c r="B1" s="47" t="s">
        <v>248</v>
      </c>
      <c r="C1" s="48" t="s">
        <v>249</v>
      </c>
      <c r="D1" s="46" t="s">
        <v>250</v>
      </c>
      <c r="E1" s="46" t="s">
        <v>251</v>
      </c>
      <c r="F1" s="49" t="s">
        <v>252</v>
      </c>
      <c r="G1" s="46" t="s">
        <v>253</v>
      </c>
    </row>
    <row r="2" ht="22.5" customHeight="1">
      <c r="A2" s="50">
        <v>45960.72418621527</v>
      </c>
      <c r="B2" s="51">
        <v>77121.0</v>
      </c>
    </row>
    <row r="3" ht="22.5" customHeight="1">
      <c r="A3" s="52">
        <v>45953.0</v>
      </c>
      <c r="B3" s="53">
        <v>554440.0</v>
      </c>
      <c r="D3" s="54"/>
      <c r="E3" s="54"/>
      <c r="F3" s="54"/>
      <c r="G3" s="55" t="s">
        <v>183</v>
      </c>
    </row>
    <row r="4" ht="22.5" customHeight="1">
      <c r="A4" s="50">
        <v>45952.61604864583</v>
      </c>
      <c r="B4" s="51">
        <v>554437.0</v>
      </c>
      <c r="D4" s="56" t="s">
        <v>254</v>
      </c>
    </row>
    <row r="5" ht="22.5" customHeight="1">
      <c r="A5" s="50">
        <v>45952.61068005787</v>
      </c>
      <c r="B5" s="51">
        <v>33183.0</v>
      </c>
      <c r="D5" s="56" t="s">
        <v>255</v>
      </c>
      <c r="G5" s="56" t="s">
        <v>49</v>
      </c>
    </row>
    <row r="6" ht="22.5" customHeight="1">
      <c r="A6" s="52">
        <v>45952.0</v>
      </c>
      <c r="B6" s="57">
        <v>55411.0</v>
      </c>
      <c r="D6" s="54"/>
      <c r="E6" s="54"/>
      <c r="F6" s="54"/>
      <c r="G6" s="58" t="s">
        <v>42</v>
      </c>
    </row>
    <row r="7" ht="22.5" customHeight="1">
      <c r="A7" s="52">
        <v>45952.0</v>
      </c>
      <c r="B7" s="57">
        <v>55423.0</v>
      </c>
      <c r="D7" s="54"/>
      <c r="E7" s="54"/>
      <c r="F7" s="54"/>
      <c r="G7" s="58"/>
    </row>
    <row r="8" ht="22.5" customHeight="1">
      <c r="A8" s="52">
        <v>45952.0</v>
      </c>
      <c r="B8" s="57">
        <v>77117.0</v>
      </c>
      <c r="D8" s="54"/>
      <c r="E8" s="54"/>
      <c r="F8" s="54"/>
      <c r="G8" s="58" t="s">
        <v>256</v>
      </c>
    </row>
    <row r="9" ht="22.5" customHeight="1">
      <c r="A9" s="52">
        <v>45952.0</v>
      </c>
      <c r="B9" s="59">
        <v>77118.0</v>
      </c>
      <c r="D9" s="54"/>
      <c r="E9" s="54"/>
      <c r="F9" s="54"/>
      <c r="G9" s="58" t="s">
        <v>257</v>
      </c>
    </row>
    <row r="10" ht="22.5" customHeight="1">
      <c r="A10" s="52">
        <v>45952.0</v>
      </c>
      <c r="B10" s="59">
        <v>77121.0</v>
      </c>
      <c r="D10" s="54"/>
      <c r="E10" s="54"/>
      <c r="F10" s="54"/>
      <c r="G10" s="58" t="s">
        <v>258</v>
      </c>
    </row>
    <row r="11" ht="22.5" customHeight="1">
      <c r="A11" s="52">
        <v>45952.0</v>
      </c>
      <c r="B11" s="57">
        <v>442065.0</v>
      </c>
      <c r="D11" s="54"/>
      <c r="E11" s="54"/>
      <c r="F11" s="54"/>
      <c r="G11" s="58"/>
    </row>
    <row r="12" ht="22.5" customHeight="1">
      <c r="A12" s="52">
        <v>45952.0</v>
      </c>
      <c r="B12" s="57">
        <v>442066.0</v>
      </c>
      <c r="D12" s="54"/>
      <c r="E12" s="54"/>
      <c r="F12" s="54"/>
      <c r="G12" s="58"/>
    </row>
    <row r="13" ht="22.5" customHeight="1">
      <c r="A13" s="52">
        <v>45952.0</v>
      </c>
      <c r="B13" s="57">
        <v>552942.0</v>
      </c>
      <c r="D13" s="54"/>
      <c r="E13" s="54"/>
      <c r="F13" s="54"/>
      <c r="G13" s="58"/>
    </row>
    <row r="14" ht="22.5" customHeight="1">
      <c r="A14" s="52">
        <v>45952.0</v>
      </c>
      <c r="B14" s="57">
        <v>553959.0</v>
      </c>
      <c r="D14" s="54"/>
      <c r="E14" s="54"/>
      <c r="F14" s="54"/>
      <c r="G14" s="58"/>
    </row>
    <row r="15" ht="22.5" customHeight="1">
      <c r="A15" s="52">
        <v>45952.0</v>
      </c>
      <c r="B15" s="57">
        <v>554285.0</v>
      </c>
      <c r="D15" s="54"/>
      <c r="E15" s="54"/>
      <c r="F15" s="54"/>
      <c r="G15" s="58" t="s">
        <v>82</v>
      </c>
    </row>
    <row r="16" ht="22.5" customHeight="1">
      <c r="A16" s="52">
        <v>45952.0</v>
      </c>
      <c r="B16" s="57">
        <v>554332.0</v>
      </c>
      <c r="D16" s="54"/>
      <c r="E16" s="54"/>
      <c r="F16" s="54"/>
      <c r="G16" s="58"/>
    </row>
    <row r="17" ht="22.5" customHeight="1">
      <c r="A17" s="52">
        <v>45952.0</v>
      </c>
      <c r="B17" s="60">
        <v>554437.0</v>
      </c>
      <c r="D17" s="54"/>
      <c r="E17" s="54"/>
      <c r="F17" s="54"/>
      <c r="G17" s="61" t="s">
        <v>198</v>
      </c>
    </row>
    <row r="18" ht="22.5" customHeight="1">
      <c r="A18" s="52">
        <v>45952.0</v>
      </c>
      <c r="B18" s="57">
        <v>554439.0</v>
      </c>
      <c r="D18" s="54"/>
      <c r="E18" s="54"/>
      <c r="F18" s="54"/>
      <c r="G18" s="58"/>
    </row>
    <row r="19" ht="22.5" customHeight="1">
      <c r="A19" s="62">
        <v>45952.0</v>
      </c>
      <c r="B19" s="60">
        <v>554440.0</v>
      </c>
      <c r="D19" s="63"/>
      <c r="E19" s="63"/>
      <c r="F19" s="63"/>
      <c r="G19" s="61" t="s">
        <v>259</v>
      </c>
    </row>
    <row r="20" ht="22.5" customHeight="1">
      <c r="A20" s="52">
        <v>45952.0</v>
      </c>
      <c r="B20" s="57">
        <v>554441.0</v>
      </c>
      <c r="D20" s="54"/>
      <c r="E20" s="54"/>
      <c r="F20" s="54"/>
      <c r="G20" s="58" t="s">
        <v>198</v>
      </c>
    </row>
    <row r="21" ht="22.5" customHeight="1">
      <c r="A21" s="52">
        <v>45952.0</v>
      </c>
      <c r="B21" s="57">
        <v>554443.0</v>
      </c>
      <c r="D21" s="54"/>
      <c r="E21" s="54"/>
      <c r="F21" s="54"/>
      <c r="G21" s="58" t="s">
        <v>190</v>
      </c>
    </row>
    <row r="22" ht="22.5" customHeight="1">
      <c r="A22" s="52">
        <v>45952.0</v>
      </c>
      <c r="B22" s="57">
        <v>554496.0</v>
      </c>
      <c r="D22" s="54"/>
      <c r="E22" s="54"/>
      <c r="F22" s="54"/>
      <c r="G22" s="58" t="s">
        <v>97</v>
      </c>
    </row>
    <row r="23" ht="22.5" customHeight="1">
      <c r="A23" s="52">
        <v>45943.0</v>
      </c>
      <c r="B23" s="53">
        <v>11943.0</v>
      </c>
      <c r="C23" s="64">
        <v>55188.0</v>
      </c>
      <c r="D23" s="65" t="s">
        <v>255</v>
      </c>
      <c r="E23" s="65"/>
      <c r="F23" s="54"/>
      <c r="G23" s="55"/>
    </row>
    <row r="24" ht="22.5" customHeight="1">
      <c r="A24" s="52">
        <v>45943.0</v>
      </c>
      <c r="B24" s="53">
        <v>33183.0</v>
      </c>
      <c r="C24" s="64">
        <v>453.0</v>
      </c>
      <c r="D24" s="65" t="s">
        <v>255</v>
      </c>
      <c r="E24" s="65"/>
      <c r="F24" s="54"/>
      <c r="G24" s="55"/>
    </row>
    <row r="25" ht="22.5" customHeight="1">
      <c r="A25" s="52">
        <v>45943.0</v>
      </c>
      <c r="B25" s="53">
        <v>33548.0</v>
      </c>
      <c r="C25" s="64">
        <v>15938.0</v>
      </c>
      <c r="D25" s="65" t="s">
        <v>255</v>
      </c>
      <c r="E25" s="65"/>
      <c r="F25" s="54"/>
      <c r="G25" s="55"/>
    </row>
    <row r="26" ht="22.5" customHeight="1">
      <c r="A26" s="52">
        <v>45943.0</v>
      </c>
      <c r="B26" s="53">
        <v>55411.0</v>
      </c>
      <c r="C26" s="64">
        <v>42406.0</v>
      </c>
      <c r="D26" s="65" t="s">
        <v>255</v>
      </c>
      <c r="E26" s="65"/>
      <c r="F26" s="54"/>
      <c r="G26" s="55"/>
    </row>
    <row r="27" ht="22.5" customHeight="1">
      <c r="A27" s="52">
        <v>45943.0</v>
      </c>
      <c r="B27" s="53">
        <v>55423.0</v>
      </c>
      <c r="C27" s="64">
        <v>30309.0</v>
      </c>
      <c r="D27" s="65" t="s">
        <v>255</v>
      </c>
      <c r="E27" s="65"/>
      <c r="F27" s="54"/>
      <c r="G27" s="55"/>
    </row>
    <row r="28" ht="22.5" customHeight="1">
      <c r="A28" s="52">
        <v>45943.0</v>
      </c>
      <c r="B28" s="53">
        <v>442065.0</v>
      </c>
      <c r="C28" s="64">
        <v>29420.0</v>
      </c>
      <c r="D28" s="65" t="s">
        <v>255</v>
      </c>
      <c r="E28" s="65"/>
      <c r="F28" s="54"/>
      <c r="G28" s="55"/>
    </row>
    <row r="29" ht="22.5" customHeight="1">
      <c r="A29" s="52">
        <v>45943.0</v>
      </c>
      <c r="B29" s="53">
        <v>442066.0</v>
      </c>
      <c r="C29" s="64">
        <v>25446.0</v>
      </c>
      <c r="D29" s="65" t="s">
        <v>255</v>
      </c>
      <c r="E29" s="65"/>
      <c r="F29" s="54"/>
      <c r="G29" s="55"/>
    </row>
    <row r="30" ht="22.5" customHeight="1">
      <c r="A30" s="52">
        <v>45943.0</v>
      </c>
      <c r="B30" s="53">
        <v>552942.0</v>
      </c>
      <c r="C30" s="64">
        <v>84965.0</v>
      </c>
      <c r="D30" s="65" t="s">
        <v>255</v>
      </c>
      <c r="E30" s="65"/>
      <c r="F30" s="54"/>
      <c r="G30" s="55"/>
    </row>
    <row r="31" ht="22.5" customHeight="1">
      <c r="A31" s="52">
        <v>45943.0</v>
      </c>
      <c r="B31" s="53">
        <v>553197.0</v>
      </c>
      <c r="C31" s="64">
        <v>265434.0</v>
      </c>
      <c r="D31" s="65" t="s">
        <v>255</v>
      </c>
      <c r="E31" s="65"/>
      <c r="F31" s="54"/>
      <c r="G31" s="55"/>
    </row>
    <row r="32" ht="22.5" customHeight="1">
      <c r="A32" s="52">
        <v>45943.0</v>
      </c>
      <c r="B32" s="53">
        <v>553200.0</v>
      </c>
      <c r="C32" s="64">
        <v>281481.0</v>
      </c>
      <c r="D32" s="65" t="s">
        <v>254</v>
      </c>
      <c r="E32" s="65"/>
      <c r="F32" s="54"/>
      <c r="G32" s="55"/>
    </row>
    <row r="33" ht="22.5" customHeight="1">
      <c r="A33" s="52">
        <v>45943.0</v>
      </c>
      <c r="B33" s="53">
        <v>553204.0</v>
      </c>
      <c r="C33" s="64">
        <v>214699.0</v>
      </c>
      <c r="D33" s="65" t="s">
        <v>255</v>
      </c>
      <c r="E33" s="65"/>
      <c r="F33" s="54"/>
      <c r="G33" s="55"/>
    </row>
    <row r="34" ht="22.5" customHeight="1">
      <c r="A34" s="52">
        <v>45943.0</v>
      </c>
      <c r="B34" s="53">
        <v>553206.0</v>
      </c>
      <c r="C34" s="64">
        <v>248786.0</v>
      </c>
      <c r="D34" s="65" t="s">
        <v>255</v>
      </c>
      <c r="E34" s="65"/>
      <c r="F34" s="54"/>
      <c r="G34" s="55"/>
    </row>
    <row r="35" ht="22.5" customHeight="1">
      <c r="A35" s="52">
        <v>45943.0</v>
      </c>
      <c r="B35" s="53">
        <v>553210.0</v>
      </c>
      <c r="C35" s="64">
        <v>231715.0</v>
      </c>
      <c r="D35" s="65" t="s">
        <v>255</v>
      </c>
      <c r="E35" s="65"/>
      <c r="F35" s="54"/>
      <c r="G35" s="55"/>
    </row>
    <row r="36" ht="22.5" customHeight="1">
      <c r="A36" s="52">
        <v>45943.0</v>
      </c>
      <c r="B36" s="53">
        <v>553215.0</v>
      </c>
      <c r="D36" s="65" t="s">
        <v>254</v>
      </c>
      <c r="E36" s="65" t="s">
        <v>260</v>
      </c>
      <c r="F36" s="54"/>
      <c r="G36" s="55" t="s">
        <v>127</v>
      </c>
    </row>
    <row r="37" ht="22.5" customHeight="1">
      <c r="A37" s="52">
        <v>45943.0</v>
      </c>
      <c r="B37" s="53">
        <v>553215.0</v>
      </c>
      <c r="C37" s="64">
        <v>226351.0</v>
      </c>
      <c r="D37" s="65" t="s">
        <v>255</v>
      </c>
      <c r="E37" s="65"/>
      <c r="F37" s="54"/>
      <c r="G37" s="55"/>
    </row>
    <row r="38" ht="22.5" customHeight="1">
      <c r="A38" s="52">
        <v>45943.0</v>
      </c>
      <c r="B38" s="53">
        <v>553216.0</v>
      </c>
      <c r="C38" s="64">
        <v>249078.0</v>
      </c>
      <c r="D38" s="65" t="s">
        <v>254</v>
      </c>
      <c r="E38" s="65"/>
      <c r="F38" s="54"/>
      <c r="G38" s="55"/>
    </row>
    <row r="39" ht="22.5" customHeight="1">
      <c r="A39" s="52">
        <v>45943.0</v>
      </c>
      <c r="B39" s="53">
        <v>553217.0</v>
      </c>
      <c r="C39" s="64">
        <v>265678.0</v>
      </c>
      <c r="D39" s="65" t="s">
        <v>255</v>
      </c>
      <c r="E39" s="65"/>
      <c r="F39" s="54"/>
      <c r="G39" s="55"/>
    </row>
    <row r="40" ht="22.5" customHeight="1">
      <c r="A40" s="52">
        <v>45943.0</v>
      </c>
      <c r="B40" s="53">
        <v>553218.0</v>
      </c>
      <c r="C40" s="64">
        <v>284992.0</v>
      </c>
      <c r="D40" s="65" t="s">
        <v>254</v>
      </c>
      <c r="E40" s="65"/>
      <c r="F40" s="54"/>
      <c r="G40" s="55"/>
    </row>
    <row r="41" ht="22.5" customHeight="1">
      <c r="A41" s="52">
        <v>45943.0</v>
      </c>
      <c r="B41" s="53">
        <v>553236.0</v>
      </c>
      <c r="D41" s="65" t="s">
        <v>254</v>
      </c>
      <c r="E41" s="65" t="s">
        <v>260</v>
      </c>
      <c r="F41" s="54"/>
      <c r="G41" s="55" t="s">
        <v>127</v>
      </c>
    </row>
    <row r="42" ht="22.5" customHeight="1">
      <c r="A42" s="52">
        <v>45943.0</v>
      </c>
      <c r="B42" s="53">
        <v>553236.0</v>
      </c>
      <c r="C42" s="64">
        <v>219580.0</v>
      </c>
      <c r="D42" s="65" t="s">
        <v>255</v>
      </c>
      <c r="E42" s="65"/>
      <c r="F42" s="54"/>
      <c r="G42" s="55"/>
    </row>
    <row r="43" ht="22.5" customHeight="1">
      <c r="A43" s="52">
        <v>45943.0</v>
      </c>
      <c r="B43" s="53">
        <v>553252.0</v>
      </c>
      <c r="C43" s="64">
        <v>167070.0</v>
      </c>
      <c r="D43" s="65" t="s">
        <v>255</v>
      </c>
      <c r="E43" s="65"/>
      <c r="F43" s="54"/>
      <c r="G43" s="55"/>
    </row>
    <row r="44" ht="22.5" customHeight="1">
      <c r="A44" s="52">
        <v>45943.0</v>
      </c>
      <c r="B44" s="53">
        <v>553520.0</v>
      </c>
      <c r="C44" s="64">
        <v>151218.0</v>
      </c>
      <c r="D44" s="65" t="s">
        <v>254</v>
      </c>
      <c r="E44" s="65"/>
      <c r="F44" s="54"/>
      <c r="G44" s="55"/>
    </row>
    <row r="45" ht="22.5" customHeight="1">
      <c r="A45" s="52">
        <v>45943.0</v>
      </c>
      <c r="B45" s="53">
        <v>553552.0</v>
      </c>
      <c r="C45" s="64">
        <v>167070.0</v>
      </c>
      <c r="D45" s="65" t="s">
        <v>255</v>
      </c>
      <c r="E45" s="65"/>
      <c r="F45" s="54"/>
      <c r="G45" s="55"/>
    </row>
    <row r="46" ht="22.5" customHeight="1">
      <c r="A46" s="52">
        <v>45943.0</v>
      </c>
      <c r="B46" s="53">
        <v>553556.0</v>
      </c>
      <c r="C46" s="64">
        <v>95908.0</v>
      </c>
      <c r="D46" s="65" t="s">
        <v>255</v>
      </c>
      <c r="E46" s="65"/>
      <c r="F46" s="54"/>
      <c r="G46" s="55"/>
    </row>
    <row r="47" ht="22.5" customHeight="1">
      <c r="A47" s="52">
        <v>45943.0</v>
      </c>
      <c r="B47" s="53">
        <v>553959.0</v>
      </c>
      <c r="C47" s="64">
        <v>132444.0</v>
      </c>
      <c r="D47" s="65" t="s">
        <v>255</v>
      </c>
      <c r="E47" s="65"/>
      <c r="F47" s="54"/>
      <c r="G47" s="55"/>
    </row>
    <row r="48" ht="22.5" customHeight="1">
      <c r="A48" s="52">
        <v>45943.0</v>
      </c>
      <c r="B48" s="53">
        <v>554285.0</v>
      </c>
      <c r="C48" s="64">
        <v>32391.0</v>
      </c>
      <c r="D48" s="65" t="s">
        <v>255</v>
      </c>
      <c r="E48" s="65"/>
      <c r="F48" s="54"/>
      <c r="G48" s="55"/>
    </row>
    <row r="49" ht="22.5" customHeight="1">
      <c r="A49" s="52">
        <v>45943.0</v>
      </c>
      <c r="B49" s="53">
        <v>554332.0</v>
      </c>
      <c r="C49" s="64">
        <v>76682.0</v>
      </c>
      <c r="D49" s="65" t="s">
        <v>255</v>
      </c>
      <c r="E49" s="65"/>
      <c r="F49" s="54"/>
      <c r="G49" s="55"/>
    </row>
    <row r="50" ht="22.5" customHeight="1">
      <c r="A50" s="52">
        <v>45943.0</v>
      </c>
      <c r="B50" s="53">
        <v>554434.0</v>
      </c>
      <c r="C50" s="64">
        <v>63217.0</v>
      </c>
      <c r="D50" s="65" t="s">
        <v>255</v>
      </c>
      <c r="E50" s="65"/>
      <c r="F50" s="54"/>
      <c r="G50" s="55"/>
    </row>
    <row r="51" ht="22.5" customHeight="1">
      <c r="A51" s="52">
        <v>45943.0</v>
      </c>
      <c r="B51" s="53">
        <v>554435.0</v>
      </c>
      <c r="C51" s="64">
        <v>50033.0</v>
      </c>
      <c r="D51" s="65" t="s">
        <v>254</v>
      </c>
      <c r="E51" s="65"/>
      <c r="F51" s="54"/>
      <c r="G51" s="55"/>
    </row>
    <row r="52" ht="22.5" customHeight="1">
      <c r="A52" s="52">
        <v>45943.0</v>
      </c>
      <c r="B52" s="53">
        <v>554437.0</v>
      </c>
      <c r="C52" s="64">
        <v>60064.0</v>
      </c>
      <c r="D52" s="65" t="s">
        <v>255</v>
      </c>
      <c r="E52" s="65"/>
      <c r="F52" s="54"/>
      <c r="G52" s="55"/>
    </row>
    <row r="53" ht="22.5" customHeight="1">
      <c r="A53" s="52">
        <v>45943.0</v>
      </c>
      <c r="B53" s="53">
        <v>554439.0</v>
      </c>
      <c r="C53" s="64">
        <v>57553.0</v>
      </c>
      <c r="D53" s="65" t="s">
        <v>255</v>
      </c>
      <c r="E53" s="65"/>
      <c r="F53" s="54"/>
      <c r="G53" s="55"/>
    </row>
    <row r="54" ht="22.5" customHeight="1">
      <c r="A54" s="52">
        <v>45943.0</v>
      </c>
      <c r="B54" s="53">
        <v>554440.0</v>
      </c>
      <c r="C54" s="64">
        <v>49267.0</v>
      </c>
      <c r="D54" s="65" t="s">
        <v>255</v>
      </c>
      <c r="E54" s="65"/>
      <c r="F54" s="54"/>
      <c r="G54" s="55"/>
    </row>
    <row r="55" ht="22.5" customHeight="1">
      <c r="A55" s="52">
        <v>45943.0</v>
      </c>
      <c r="B55" s="53">
        <v>554441.0</v>
      </c>
      <c r="C55" s="64">
        <v>74361.0</v>
      </c>
      <c r="D55" s="65" t="s">
        <v>255</v>
      </c>
      <c r="E55" s="65"/>
      <c r="F55" s="54"/>
      <c r="G55" s="55"/>
    </row>
    <row r="56" ht="22.5" customHeight="1">
      <c r="A56" s="52">
        <v>45943.0</v>
      </c>
      <c r="B56" s="53">
        <v>554442.0</v>
      </c>
      <c r="C56" s="64">
        <v>40205.0</v>
      </c>
      <c r="D56" s="65" t="s">
        <v>255</v>
      </c>
      <c r="E56" s="65"/>
      <c r="F56" s="54"/>
      <c r="G56" s="55"/>
    </row>
    <row r="57" ht="22.5" customHeight="1">
      <c r="A57" s="52">
        <v>45943.0</v>
      </c>
      <c r="B57" s="53">
        <v>554443.0</v>
      </c>
      <c r="C57" s="64">
        <v>80372.0</v>
      </c>
      <c r="D57" s="65" t="s">
        <v>255</v>
      </c>
      <c r="E57" s="65"/>
      <c r="F57" s="54"/>
      <c r="G57" s="55"/>
    </row>
    <row r="58" ht="22.5" customHeight="1">
      <c r="A58" s="52">
        <v>45943.0</v>
      </c>
      <c r="B58" s="53">
        <v>554448.0</v>
      </c>
      <c r="C58" s="64">
        <v>89723.0</v>
      </c>
      <c r="D58" s="65" t="s">
        <v>254</v>
      </c>
      <c r="E58" s="65"/>
      <c r="F58" s="54"/>
      <c r="G58" s="55"/>
    </row>
    <row r="59" ht="22.5" customHeight="1">
      <c r="A59" s="52">
        <v>45943.0</v>
      </c>
      <c r="B59" s="53">
        <v>554453.0</v>
      </c>
      <c r="C59" s="64">
        <v>67387.0</v>
      </c>
      <c r="D59" s="65" t="s">
        <v>254</v>
      </c>
      <c r="E59" s="65"/>
      <c r="F59" s="54"/>
      <c r="G59" s="55"/>
    </row>
    <row r="60" ht="22.5" customHeight="1">
      <c r="A60" s="52">
        <v>45943.0</v>
      </c>
      <c r="B60" s="53">
        <v>554496.0</v>
      </c>
      <c r="C60" s="64">
        <v>33844.0</v>
      </c>
      <c r="D60" s="65" t="s">
        <v>255</v>
      </c>
      <c r="E60" s="65"/>
      <c r="F60" s="54"/>
      <c r="G60" s="55"/>
    </row>
    <row r="61" ht="22.5" customHeight="1">
      <c r="A61" s="52">
        <v>45943.0</v>
      </c>
      <c r="B61" s="53">
        <v>554544.0</v>
      </c>
      <c r="C61" s="64">
        <v>33228.0</v>
      </c>
      <c r="D61" s="65" t="s">
        <v>255</v>
      </c>
      <c r="E61" s="65"/>
      <c r="F61" s="54"/>
      <c r="G61" s="55"/>
    </row>
    <row r="62" ht="22.5" customHeight="1">
      <c r="A62" s="52">
        <v>45943.0</v>
      </c>
      <c r="B62" s="53">
        <v>554545.0</v>
      </c>
      <c r="C62" s="64">
        <v>31958.0</v>
      </c>
      <c r="D62" s="65" t="s">
        <v>255</v>
      </c>
      <c r="E62" s="65"/>
      <c r="F62" s="54"/>
      <c r="G62" s="55"/>
    </row>
    <row r="63" ht="22.5" customHeight="1">
      <c r="A63" s="52">
        <v>45943.0</v>
      </c>
      <c r="B63" s="53">
        <v>559384.0</v>
      </c>
      <c r="C63" s="64">
        <v>77287.0</v>
      </c>
      <c r="D63" s="65" t="s">
        <v>255</v>
      </c>
      <c r="E63" s="65"/>
      <c r="F63" s="54"/>
      <c r="G63" s="55"/>
    </row>
    <row r="64" ht="22.5" customHeight="1">
      <c r="A64" s="52">
        <v>45960.0</v>
      </c>
      <c r="B64" s="53">
        <v>77119.0</v>
      </c>
      <c r="C64" s="65">
        <v>702.0</v>
      </c>
      <c r="D64" s="65"/>
      <c r="E64" s="65"/>
      <c r="F64" s="54"/>
      <c r="G64" s="55"/>
    </row>
    <row r="65" ht="22.5" customHeight="1">
      <c r="A65" s="52">
        <v>45960.0</v>
      </c>
      <c r="B65" s="53">
        <v>77117.0</v>
      </c>
      <c r="C65" s="65">
        <v>1067.0</v>
      </c>
      <c r="D65" s="65"/>
      <c r="E65" s="65"/>
      <c r="F65" s="54"/>
      <c r="G65" s="55"/>
    </row>
    <row r="66" ht="22.5" customHeight="1">
      <c r="A66" s="52">
        <v>45987.0</v>
      </c>
      <c r="B66" s="53">
        <v>553200.0</v>
      </c>
      <c r="C66" s="65"/>
      <c r="D66" s="65" t="s">
        <v>261</v>
      </c>
      <c r="E66" s="65"/>
      <c r="F66" s="54"/>
      <c r="G66" s="55"/>
    </row>
    <row r="67" ht="22.5" customHeight="1">
      <c r="A67" s="52">
        <v>45987.0</v>
      </c>
      <c r="B67" s="53">
        <v>553204.0</v>
      </c>
      <c r="C67" s="65"/>
      <c r="D67" s="65" t="s">
        <v>217</v>
      </c>
      <c r="E67" s="65"/>
      <c r="F67" s="54"/>
      <c r="G67" s="55"/>
    </row>
    <row r="68" ht="22.5" customHeight="1">
      <c r="A68" s="52">
        <v>45987.0</v>
      </c>
      <c r="B68" s="53">
        <v>553206.0</v>
      </c>
      <c r="C68" s="65"/>
      <c r="D68" s="65" t="s">
        <v>255</v>
      </c>
      <c r="E68" s="65"/>
      <c r="F68" s="54"/>
      <c r="G68" s="55"/>
    </row>
    <row r="69" ht="22.5" customHeight="1">
      <c r="A69" s="52">
        <v>45987.0</v>
      </c>
      <c r="B69" s="53">
        <v>553210.0</v>
      </c>
      <c r="C69" s="65"/>
      <c r="D69" s="65" t="s">
        <v>255</v>
      </c>
      <c r="E69" s="65"/>
      <c r="F69" s="54"/>
      <c r="G69" s="55"/>
    </row>
    <row r="70" ht="22.5" customHeight="1">
      <c r="A70" s="52">
        <v>45987.0</v>
      </c>
      <c r="B70" s="53">
        <v>553215.0</v>
      </c>
      <c r="C70" s="65"/>
      <c r="D70" s="65" t="s">
        <v>255</v>
      </c>
      <c r="E70" s="65"/>
      <c r="F70" s="54"/>
      <c r="G70" s="55"/>
    </row>
    <row r="71" ht="22.5" customHeight="1">
      <c r="A71" s="52">
        <v>45987.0</v>
      </c>
      <c r="B71" s="53">
        <v>553216.0</v>
      </c>
      <c r="C71" s="65"/>
      <c r="D71" s="65" t="s">
        <v>255</v>
      </c>
      <c r="E71" s="65"/>
      <c r="F71" s="54"/>
      <c r="G71" s="55"/>
    </row>
    <row r="72" ht="22.5" customHeight="1">
      <c r="A72" s="52">
        <v>45987.0</v>
      </c>
      <c r="B72" s="53">
        <v>553217.0</v>
      </c>
      <c r="C72" s="65"/>
      <c r="D72" s="65" t="s">
        <v>217</v>
      </c>
      <c r="E72" s="65"/>
      <c r="F72" s="54"/>
      <c r="G72" s="55"/>
    </row>
    <row r="73" ht="22.5" customHeight="1">
      <c r="A73" s="52">
        <v>45987.0</v>
      </c>
      <c r="B73" s="53">
        <v>553218.0</v>
      </c>
      <c r="C73" s="65"/>
      <c r="D73" s="65" t="s">
        <v>261</v>
      </c>
      <c r="E73" s="65"/>
      <c r="F73" s="54"/>
      <c r="G73" s="55"/>
    </row>
    <row r="74" ht="22.5" customHeight="1">
      <c r="A74" s="52">
        <v>45987.0</v>
      </c>
      <c r="B74" s="53">
        <v>553236.0</v>
      </c>
      <c r="C74" s="65"/>
      <c r="D74" s="65" t="s">
        <v>217</v>
      </c>
      <c r="E74" s="65"/>
      <c r="F74" s="54"/>
      <c r="G74" s="55"/>
    </row>
    <row r="75" ht="22.5" customHeight="1">
      <c r="A75" s="52">
        <v>45987.0</v>
      </c>
      <c r="B75" s="53">
        <v>553252.0</v>
      </c>
      <c r="C75" s="65"/>
      <c r="D75" s="65" t="s">
        <v>217</v>
      </c>
      <c r="E75" s="65"/>
      <c r="F75" s="54"/>
      <c r="G75" s="55"/>
    </row>
    <row r="76" ht="22.5" customHeight="1">
      <c r="A76" s="52">
        <v>45987.0</v>
      </c>
      <c r="B76" s="53">
        <v>553197.0</v>
      </c>
      <c r="C76" s="65"/>
      <c r="D76" s="65" t="s">
        <v>255</v>
      </c>
      <c r="E76" s="65"/>
      <c r="F76" s="54"/>
      <c r="G76" s="55"/>
    </row>
    <row r="77" ht="22.5" customHeight="1">
      <c r="A77" s="52">
        <v>45987.0</v>
      </c>
      <c r="B77" s="53">
        <v>554496.0</v>
      </c>
      <c r="C77" s="65"/>
      <c r="D77" s="65" t="s">
        <v>255</v>
      </c>
      <c r="E77" s="65"/>
      <c r="F77" s="54"/>
      <c r="G77" s="55"/>
    </row>
    <row r="78" ht="22.5" customHeight="1">
      <c r="A78" s="52">
        <v>45987.0</v>
      </c>
      <c r="B78" s="53">
        <v>554442.0</v>
      </c>
      <c r="C78" s="65"/>
      <c r="D78" s="65" t="s">
        <v>255</v>
      </c>
      <c r="E78" s="65"/>
      <c r="F78" s="54"/>
      <c r="G78" s="55"/>
    </row>
    <row r="79" ht="22.5" customHeight="1">
      <c r="A79" s="52">
        <v>45987.0</v>
      </c>
      <c r="B79" s="53">
        <v>554441.0</v>
      </c>
      <c r="C79" s="65"/>
      <c r="D79" s="65" t="s">
        <v>217</v>
      </c>
      <c r="E79" s="65"/>
      <c r="F79" s="54"/>
      <c r="G79" s="55"/>
    </row>
    <row r="80" ht="22.5" customHeight="1">
      <c r="A80" s="52">
        <v>45987.0</v>
      </c>
      <c r="B80" s="53">
        <v>554439.0</v>
      </c>
      <c r="C80" s="65"/>
      <c r="D80" s="65" t="s">
        <v>255</v>
      </c>
      <c r="E80" s="65"/>
      <c r="F80" s="54"/>
      <c r="G80" s="55"/>
    </row>
    <row r="81" ht="22.5" customHeight="1">
      <c r="A81" s="52">
        <v>45987.0</v>
      </c>
      <c r="B81" s="53">
        <v>554440.0</v>
      </c>
      <c r="C81" s="65"/>
      <c r="D81" s="65" t="s">
        <v>255</v>
      </c>
      <c r="E81" s="65"/>
      <c r="F81" s="54"/>
      <c r="G81" s="55"/>
    </row>
    <row r="82" ht="22.5" customHeight="1">
      <c r="A82" s="52">
        <v>45987.0</v>
      </c>
      <c r="B82" s="53">
        <v>554544.0</v>
      </c>
      <c r="C82" s="65"/>
      <c r="D82" s="65" t="s">
        <v>255</v>
      </c>
      <c r="E82" s="65"/>
      <c r="F82" s="54"/>
      <c r="G82" s="55"/>
    </row>
    <row r="83" ht="22.5" customHeight="1">
      <c r="A83" s="52">
        <v>45987.0</v>
      </c>
      <c r="B83" s="53">
        <v>554434.0</v>
      </c>
      <c r="C83" s="65"/>
      <c r="D83" s="65" t="s">
        <v>255</v>
      </c>
      <c r="E83" s="65"/>
      <c r="F83" s="54"/>
      <c r="G83" s="55"/>
    </row>
    <row r="84" ht="22.5" customHeight="1">
      <c r="A84" s="52">
        <v>45987.0</v>
      </c>
      <c r="B84" s="53">
        <v>554435.0</v>
      </c>
      <c r="C84" s="65"/>
      <c r="D84" s="65" t="s">
        <v>217</v>
      </c>
      <c r="E84" s="65"/>
      <c r="F84" s="54"/>
      <c r="G84" s="55"/>
    </row>
    <row r="85" ht="22.5" customHeight="1">
      <c r="A85" s="52">
        <v>45987.0</v>
      </c>
      <c r="B85" s="53">
        <v>554437.0</v>
      </c>
      <c r="C85" s="65"/>
      <c r="D85" s="65" t="s">
        <v>255</v>
      </c>
      <c r="E85" s="65"/>
      <c r="F85" s="54"/>
      <c r="G85" s="55"/>
    </row>
    <row r="86" ht="22.5" customHeight="1">
      <c r="A86" s="52">
        <v>45987.0</v>
      </c>
      <c r="B86" s="53">
        <v>554545.0</v>
      </c>
      <c r="C86" s="65"/>
      <c r="D86" s="65" t="s">
        <v>255</v>
      </c>
      <c r="E86" s="65"/>
      <c r="F86" s="54"/>
      <c r="G86" s="55"/>
    </row>
    <row r="87" ht="22.5" customHeight="1">
      <c r="A87" s="52">
        <v>45987.0</v>
      </c>
      <c r="B87" s="53">
        <v>554453.0</v>
      </c>
      <c r="C87" s="65"/>
      <c r="D87" s="65" t="s">
        <v>217</v>
      </c>
      <c r="E87" s="65"/>
      <c r="F87" s="54"/>
      <c r="G87" s="55"/>
    </row>
    <row r="88" ht="22.5" customHeight="1">
      <c r="A88" s="52">
        <v>45987.0</v>
      </c>
      <c r="B88" s="53">
        <v>554448.0</v>
      </c>
      <c r="C88" s="65"/>
      <c r="D88" s="65" t="s">
        <v>217</v>
      </c>
      <c r="E88" s="65"/>
      <c r="F88" s="54"/>
      <c r="G88" s="55"/>
    </row>
    <row r="89" ht="22.5" customHeight="1">
      <c r="A89" s="52">
        <v>45987.0</v>
      </c>
      <c r="B89" s="53">
        <v>554443.0</v>
      </c>
      <c r="C89" s="65"/>
      <c r="D89" s="65" t="s">
        <v>255</v>
      </c>
      <c r="E89" s="65"/>
      <c r="F89" s="54"/>
      <c r="G89" s="55"/>
    </row>
    <row r="90" ht="22.5" customHeight="1">
      <c r="A90" s="52">
        <v>45987.0</v>
      </c>
      <c r="B90" s="53">
        <v>553520.0</v>
      </c>
      <c r="C90" s="65"/>
      <c r="D90" s="65" t="s">
        <v>255</v>
      </c>
      <c r="E90" s="65"/>
      <c r="F90" s="54"/>
      <c r="G90" s="55"/>
    </row>
    <row r="91" ht="22.5" customHeight="1">
      <c r="A91" s="52">
        <v>45987.0</v>
      </c>
      <c r="B91" s="53">
        <v>553556.0</v>
      </c>
      <c r="C91" s="65"/>
      <c r="D91" s="65" t="s">
        <v>255</v>
      </c>
      <c r="E91" s="65"/>
      <c r="F91" s="54"/>
      <c r="G91" s="55"/>
    </row>
    <row r="92" ht="22.5" customHeight="1">
      <c r="A92" s="52">
        <v>45987.0</v>
      </c>
      <c r="B92" s="53">
        <v>55423.0</v>
      </c>
      <c r="C92" s="65"/>
      <c r="D92" s="65" t="s">
        <v>255</v>
      </c>
      <c r="E92" s="65"/>
      <c r="F92" s="54"/>
      <c r="G92" s="55"/>
    </row>
    <row r="93" ht="22.5" customHeight="1">
      <c r="A93" s="52">
        <v>45987.0</v>
      </c>
      <c r="B93" s="53">
        <v>55411.0</v>
      </c>
      <c r="C93" s="65"/>
      <c r="D93" s="65" t="s">
        <v>255</v>
      </c>
      <c r="E93" s="65"/>
      <c r="F93" s="54"/>
      <c r="G93" s="55"/>
    </row>
    <row r="94" ht="22.5" customHeight="1">
      <c r="A94" s="52">
        <v>45987.0</v>
      </c>
      <c r="B94" s="53">
        <v>442066.0</v>
      </c>
      <c r="C94" s="65"/>
      <c r="D94" s="65" t="s">
        <v>255</v>
      </c>
      <c r="E94" s="65"/>
      <c r="F94" s="54"/>
      <c r="G94" s="55"/>
    </row>
    <row r="95" ht="22.5" customHeight="1">
      <c r="A95" s="52">
        <v>45987.0</v>
      </c>
      <c r="B95" s="53">
        <v>442065.0</v>
      </c>
      <c r="C95" s="65"/>
      <c r="D95" s="65" t="s">
        <v>255</v>
      </c>
      <c r="E95" s="65"/>
      <c r="F95" s="54"/>
      <c r="G95" s="55"/>
    </row>
    <row r="96" ht="22.5" customHeight="1">
      <c r="A96" s="52">
        <v>45987.0</v>
      </c>
      <c r="B96" s="53">
        <v>552942.0</v>
      </c>
      <c r="C96" s="65"/>
      <c r="D96" s="65" t="s">
        <v>217</v>
      </c>
      <c r="E96" s="65"/>
      <c r="F96" s="54"/>
      <c r="G96" s="55"/>
    </row>
    <row r="97" ht="22.5" customHeight="1">
      <c r="A97" s="52">
        <v>45987.0</v>
      </c>
      <c r="B97" s="53">
        <v>11943.0</v>
      </c>
      <c r="C97" s="65"/>
      <c r="D97" s="65" t="s">
        <v>255</v>
      </c>
      <c r="E97" s="65"/>
      <c r="F97" s="54"/>
      <c r="G97" s="55"/>
    </row>
    <row r="98" ht="22.5" customHeight="1">
      <c r="A98" s="52">
        <v>45987.0</v>
      </c>
      <c r="B98" s="53">
        <v>33548.0</v>
      </c>
      <c r="C98" s="65"/>
      <c r="D98" s="65" t="s">
        <v>255</v>
      </c>
      <c r="E98" s="65"/>
      <c r="F98" s="54"/>
      <c r="G98" s="55"/>
    </row>
    <row r="99" ht="22.5" customHeight="1">
      <c r="A99" s="52">
        <v>45987.0</v>
      </c>
      <c r="B99" s="53">
        <v>559384.0</v>
      </c>
      <c r="C99" s="65"/>
      <c r="D99" s="65" t="s">
        <v>217</v>
      </c>
      <c r="E99" s="65"/>
      <c r="F99" s="54"/>
      <c r="G99" s="55"/>
    </row>
    <row r="100" ht="22.5" customHeight="1">
      <c r="A100" s="52">
        <v>45987.0</v>
      </c>
      <c r="B100" s="53">
        <v>33183.0</v>
      </c>
      <c r="C100" s="65"/>
      <c r="D100" s="65" t="s">
        <v>255</v>
      </c>
      <c r="E100" s="65"/>
      <c r="F100" s="54"/>
      <c r="G100" s="55"/>
    </row>
    <row r="101" ht="22.5" customHeight="1">
      <c r="A101" s="52">
        <v>45987.0</v>
      </c>
      <c r="B101" s="53">
        <v>554285.0</v>
      </c>
      <c r="C101" s="65"/>
      <c r="D101" s="65" t="s">
        <v>255</v>
      </c>
      <c r="E101" s="65"/>
      <c r="F101" s="54"/>
      <c r="G101" s="55"/>
    </row>
    <row r="102" ht="22.5" customHeight="1">
      <c r="A102" s="52">
        <v>45987.0</v>
      </c>
      <c r="B102" s="53">
        <v>554332.0</v>
      </c>
      <c r="C102" s="65"/>
      <c r="D102" s="65" t="s">
        <v>217</v>
      </c>
      <c r="E102" s="65"/>
      <c r="F102" s="54"/>
      <c r="G102" s="55"/>
    </row>
    <row r="103" ht="22.5" customHeight="1">
      <c r="A103" s="52">
        <v>45987.0</v>
      </c>
      <c r="B103" s="53">
        <v>553959.0</v>
      </c>
      <c r="C103" s="65"/>
      <c r="D103" s="65" t="s">
        <v>255</v>
      </c>
      <c r="E103" s="65"/>
      <c r="F103" s="54"/>
      <c r="G103" s="55"/>
    </row>
    <row r="104" ht="22.5" customHeight="1">
      <c r="A104" s="52">
        <v>45987.0</v>
      </c>
      <c r="B104" s="57">
        <v>77111.0</v>
      </c>
      <c r="C104" s="65"/>
      <c r="D104" s="65" t="s">
        <v>262</v>
      </c>
      <c r="E104" s="65"/>
      <c r="F104" s="54"/>
      <c r="G104" s="55"/>
    </row>
    <row r="105" ht="22.5" customHeight="1">
      <c r="A105" s="52">
        <v>45987.0</v>
      </c>
      <c r="B105" s="57">
        <v>77112.0</v>
      </c>
      <c r="C105" s="65"/>
      <c r="D105" s="65" t="s">
        <v>262</v>
      </c>
      <c r="E105" s="65"/>
      <c r="F105" s="54"/>
      <c r="G105" s="55"/>
    </row>
    <row r="106" ht="22.5" customHeight="1">
      <c r="A106" s="52">
        <v>45987.0</v>
      </c>
      <c r="B106" s="57">
        <v>77117.0</v>
      </c>
      <c r="C106" s="65"/>
      <c r="D106" s="65" t="s">
        <v>262</v>
      </c>
      <c r="E106" s="65"/>
      <c r="F106" s="54"/>
      <c r="G106" s="55"/>
    </row>
    <row r="107" ht="22.5" customHeight="1">
      <c r="A107" s="52">
        <v>45987.0</v>
      </c>
      <c r="B107" s="57">
        <v>77118.0</v>
      </c>
      <c r="C107" s="65"/>
      <c r="D107" s="65" t="s">
        <v>262</v>
      </c>
      <c r="E107" s="65"/>
      <c r="F107" s="54"/>
      <c r="G107" s="55"/>
    </row>
    <row r="108" ht="22.5" customHeight="1">
      <c r="A108" s="52">
        <v>45987.0</v>
      </c>
      <c r="B108" s="57">
        <v>77119.0</v>
      </c>
      <c r="C108" s="65"/>
      <c r="D108" s="65" t="s">
        <v>262</v>
      </c>
      <c r="E108" s="65"/>
      <c r="F108" s="54"/>
      <c r="G108" s="55"/>
    </row>
    <row r="109" ht="22.5" customHeight="1">
      <c r="A109" s="52">
        <v>45987.0</v>
      </c>
      <c r="B109" s="57">
        <v>77121.0</v>
      </c>
      <c r="C109" s="65"/>
      <c r="D109" s="65" t="s">
        <v>262</v>
      </c>
      <c r="E109" s="65"/>
      <c r="F109" s="54"/>
      <c r="G109" s="55"/>
    </row>
    <row r="110" ht="22.5" customHeight="1">
      <c r="A110" s="52">
        <v>45987.0</v>
      </c>
      <c r="B110" s="57">
        <v>77126.0</v>
      </c>
      <c r="C110" s="65"/>
      <c r="D110" s="65" t="s">
        <v>262</v>
      </c>
      <c r="E110" s="65"/>
      <c r="F110" s="54"/>
      <c r="G110" s="55"/>
    </row>
    <row r="111" ht="22.5" customHeight="1">
      <c r="A111" s="52">
        <v>45987.0</v>
      </c>
      <c r="B111" s="57">
        <v>77124.0</v>
      </c>
      <c r="C111" s="65"/>
      <c r="D111" s="65" t="s">
        <v>262</v>
      </c>
      <c r="E111" s="65"/>
      <c r="F111" s="54"/>
      <c r="G111" s="55"/>
    </row>
    <row r="112" ht="22.5" customHeight="1">
      <c r="A112" s="52">
        <v>45987.0</v>
      </c>
      <c r="B112" s="57">
        <v>77125.0</v>
      </c>
      <c r="C112" s="65"/>
      <c r="D112" s="65" t="s">
        <v>262</v>
      </c>
      <c r="E112" s="65"/>
      <c r="F112" s="54"/>
      <c r="G112" s="55"/>
    </row>
    <row r="113" ht="22.5" customHeight="1">
      <c r="A113" s="52">
        <v>45987.0</v>
      </c>
      <c r="B113" s="57">
        <v>77127.0</v>
      </c>
      <c r="C113" s="65"/>
      <c r="D113" s="65" t="s">
        <v>262</v>
      </c>
      <c r="E113" s="65"/>
      <c r="F113" s="54"/>
      <c r="G113" s="55"/>
    </row>
    <row r="114" ht="22.5" customHeight="1">
      <c r="A114" s="52">
        <v>45987.0</v>
      </c>
      <c r="B114" s="57">
        <v>552520.0</v>
      </c>
      <c r="C114" s="65"/>
      <c r="D114" s="65" t="s">
        <v>217</v>
      </c>
      <c r="E114" s="65"/>
      <c r="F114" s="54"/>
      <c r="G114" s="55"/>
    </row>
    <row r="115" ht="22.5" customHeight="1">
      <c r="A115" s="52"/>
      <c r="B115" s="53"/>
      <c r="C115" s="65"/>
      <c r="D115" s="65"/>
      <c r="E115" s="65"/>
      <c r="F115" s="54"/>
      <c r="G115" s="55"/>
    </row>
    <row r="116" ht="22.5" customHeight="1">
      <c r="A116" s="52"/>
      <c r="B116" s="53"/>
      <c r="C116" s="65"/>
      <c r="D116" s="65"/>
      <c r="E116" s="65"/>
      <c r="F116" s="54"/>
      <c r="G116" s="55"/>
    </row>
    <row r="117" ht="22.5" customHeight="1">
      <c r="A117" s="52"/>
      <c r="B117" s="53"/>
      <c r="C117" s="65"/>
      <c r="D117" s="65"/>
      <c r="E117" s="65"/>
      <c r="F117" s="54"/>
      <c r="G117" s="55"/>
    </row>
    <row r="118" ht="22.5" customHeight="1">
      <c r="A118" s="52"/>
      <c r="B118" s="53"/>
      <c r="C118" s="65"/>
      <c r="D118" s="65"/>
      <c r="E118" s="65"/>
      <c r="F118" s="54"/>
      <c r="G118" s="55"/>
    </row>
    <row r="119" ht="22.5" customHeight="1">
      <c r="A119" s="52"/>
      <c r="B119" s="53"/>
      <c r="C119" s="65"/>
      <c r="D119" s="65"/>
      <c r="E119" s="65"/>
      <c r="F119" s="54"/>
      <c r="G119" s="55"/>
    </row>
    <row r="120" ht="22.5" customHeight="1">
      <c r="A120" s="52"/>
      <c r="B120" s="53"/>
      <c r="C120" s="65"/>
      <c r="D120" s="65"/>
      <c r="E120" s="65"/>
      <c r="F120" s="54"/>
      <c r="G120" s="55"/>
    </row>
    <row r="121" ht="22.5" customHeight="1">
      <c r="A121" s="52"/>
      <c r="B121" s="53"/>
      <c r="C121" s="65"/>
      <c r="D121" s="65"/>
      <c r="E121" s="65"/>
      <c r="F121" s="54"/>
      <c r="G121" s="55"/>
    </row>
    <row r="122" ht="22.5" customHeight="1">
      <c r="A122" s="52"/>
      <c r="B122" s="53"/>
      <c r="C122" s="65"/>
      <c r="D122" s="65"/>
      <c r="E122" s="65"/>
      <c r="F122" s="54"/>
      <c r="G122" s="55"/>
    </row>
    <row r="123" ht="22.5" customHeight="1">
      <c r="A123" s="52"/>
      <c r="B123" s="53"/>
      <c r="C123" s="65"/>
      <c r="D123" s="65"/>
      <c r="E123" s="65"/>
      <c r="F123" s="54"/>
      <c r="G123" s="55"/>
    </row>
    <row r="124" ht="22.5" customHeight="1">
      <c r="A124" s="52"/>
      <c r="B124" s="53"/>
      <c r="C124" s="65"/>
      <c r="D124" s="65"/>
      <c r="E124" s="65"/>
      <c r="F124" s="54"/>
      <c r="G124" s="55"/>
    </row>
    <row r="125" ht="22.5" customHeight="1">
      <c r="A125" s="52"/>
      <c r="B125" s="53"/>
      <c r="C125" s="65"/>
      <c r="D125" s="65"/>
      <c r="E125" s="65"/>
      <c r="F125" s="54"/>
      <c r="G125" s="55"/>
    </row>
    <row r="126" ht="22.5" customHeight="1">
      <c r="A126" s="52"/>
      <c r="B126" s="53"/>
      <c r="C126" s="65"/>
      <c r="D126" s="65"/>
      <c r="E126" s="65"/>
      <c r="F126" s="54"/>
      <c r="G126" s="55"/>
    </row>
    <row r="127" ht="22.5" customHeight="1">
      <c r="A127" s="52"/>
      <c r="B127" s="53"/>
      <c r="C127" s="65"/>
      <c r="D127" s="65"/>
      <c r="E127" s="65"/>
      <c r="F127" s="54"/>
      <c r="G127" s="55"/>
    </row>
    <row r="128" ht="22.5" customHeight="1">
      <c r="A128" s="52"/>
      <c r="B128" s="53"/>
      <c r="C128" s="65"/>
      <c r="D128" s="65"/>
      <c r="E128" s="65"/>
      <c r="F128" s="54"/>
      <c r="G128" s="55"/>
    </row>
    <row r="129" ht="22.5" customHeight="1">
      <c r="A129" s="52"/>
      <c r="B129" s="53"/>
      <c r="C129" s="65"/>
      <c r="D129" s="65"/>
      <c r="E129" s="65"/>
      <c r="F129" s="54"/>
      <c r="G129" s="55"/>
    </row>
    <row r="130" ht="22.5" customHeight="1">
      <c r="A130" s="52"/>
      <c r="B130" s="53"/>
      <c r="C130" s="65"/>
      <c r="D130" s="65"/>
      <c r="E130" s="65"/>
      <c r="F130" s="54"/>
      <c r="G130" s="55"/>
    </row>
    <row r="131" ht="22.5" customHeight="1">
      <c r="A131" s="52"/>
      <c r="B131" s="53"/>
      <c r="C131" s="65"/>
      <c r="D131" s="65"/>
      <c r="E131" s="65"/>
      <c r="F131" s="54"/>
      <c r="G131" s="55"/>
    </row>
    <row r="132" ht="22.5" customHeight="1">
      <c r="A132" s="52"/>
      <c r="B132" s="53"/>
      <c r="C132" s="65"/>
      <c r="D132" s="65"/>
      <c r="E132" s="65"/>
      <c r="F132" s="54"/>
      <c r="G132" s="55"/>
    </row>
    <row r="133" ht="22.5" customHeight="1">
      <c r="A133" s="52"/>
      <c r="B133" s="53"/>
      <c r="C133" s="65"/>
      <c r="D133" s="65"/>
      <c r="E133" s="65"/>
      <c r="F133" s="54"/>
      <c r="G133" s="55"/>
    </row>
    <row r="134" ht="22.5" customHeight="1">
      <c r="A134" s="52"/>
      <c r="B134" s="53"/>
      <c r="C134" s="65"/>
      <c r="D134" s="65"/>
      <c r="E134" s="65"/>
      <c r="F134" s="54"/>
      <c r="G134" s="55"/>
    </row>
    <row r="135" ht="22.5" customHeight="1">
      <c r="A135" s="52"/>
      <c r="B135" s="53"/>
      <c r="C135" s="65"/>
      <c r="D135" s="65"/>
      <c r="E135" s="65"/>
      <c r="F135" s="54"/>
      <c r="G135" s="55"/>
    </row>
    <row r="136" ht="22.5" customHeight="1">
      <c r="A136" s="52"/>
      <c r="B136" s="53"/>
      <c r="C136" s="65"/>
      <c r="D136" s="65"/>
      <c r="E136" s="65"/>
      <c r="F136" s="54"/>
      <c r="G136" s="55"/>
    </row>
    <row r="137" ht="22.5" customHeight="1">
      <c r="A137" s="52"/>
      <c r="B137" s="53"/>
      <c r="C137" s="65"/>
      <c r="D137" s="65"/>
      <c r="E137" s="65"/>
      <c r="F137" s="54"/>
      <c r="G137" s="55"/>
    </row>
    <row r="138" ht="22.5" customHeight="1">
      <c r="A138" s="52"/>
      <c r="B138" s="53"/>
      <c r="C138" s="65"/>
      <c r="D138" s="65"/>
      <c r="E138" s="65"/>
      <c r="F138" s="54"/>
      <c r="G138" s="55"/>
    </row>
    <row r="139" ht="22.5" customHeight="1">
      <c r="A139" s="52"/>
      <c r="B139" s="53"/>
      <c r="C139" s="65"/>
      <c r="D139" s="65"/>
      <c r="E139" s="65"/>
      <c r="F139" s="54"/>
      <c r="G139" s="55"/>
    </row>
    <row r="140" ht="22.5" customHeight="1">
      <c r="A140" s="52"/>
      <c r="B140" s="53"/>
      <c r="C140" s="65"/>
      <c r="D140" s="65"/>
      <c r="E140" s="65"/>
      <c r="F140" s="54"/>
      <c r="G140" s="55"/>
    </row>
    <row r="141" ht="22.5" customHeight="1">
      <c r="A141" s="52"/>
      <c r="B141" s="53"/>
      <c r="C141" s="65"/>
      <c r="D141" s="65"/>
      <c r="E141" s="65"/>
      <c r="F141" s="54"/>
      <c r="G141" s="55"/>
    </row>
    <row r="142" ht="22.5" customHeight="1">
      <c r="A142" s="52"/>
      <c r="B142" s="53"/>
      <c r="C142" s="65"/>
      <c r="D142" s="65"/>
      <c r="E142" s="65"/>
      <c r="F142" s="54"/>
      <c r="G142" s="55"/>
    </row>
    <row r="143" ht="22.5" customHeight="1">
      <c r="A143" s="52"/>
      <c r="B143" s="53"/>
      <c r="C143" s="65"/>
      <c r="D143" s="65"/>
      <c r="E143" s="65"/>
      <c r="F143" s="54"/>
      <c r="G143" s="55"/>
    </row>
    <row r="144" ht="22.5" customHeight="1">
      <c r="A144" s="52"/>
      <c r="B144" s="53"/>
      <c r="C144" s="65"/>
      <c r="D144" s="65"/>
      <c r="E144" s="65"/>
      <c r="F144" s="54"/>
      <c r="G144" s="55"/>
    </row>
    <row r="145" ht="22.5" customHeight="1">
      <c r="A145" s="52"/>
      <c r="B145" s="53"/>
      <c r="C145" s="65"/>
      <c r="D145" s="65"/>
      <c r="E145" s="65"/>
      <c r="F145" s="54"/>
      <c r="G145" s="55"/>
    </row>
    <row r="146" ht="22.5" customHeight="1">
      <c r="A146" s="52"/>
      <c r="B146" s="53"/>
      <c r="C146" s="65"/>
      <c r="D146" s="65"/>
      <c r="E146" s="65"/>
      <c r="F146" s="54"/>
      <c r="G146" s="55"/>
    </row>
    <row r="147" ht="22.5" customHeight="1">
      <c r="A147" s="52"/>
      <c r="B147" s="53"/>
      <c r="C147" s="65"/>
      <c r="D147" s="65"/>
      <c r="E147" s="65"/>
      <c r="F147" s="54"/>
      <c r="G147" s="55"/>
    </row>
    <row r="148" ht="22.5" customHeight="1">
      <c r="A148" s="52"/>
      <c r="B148" s="53"/>
      <c r="C148" s="65"/>
      <c r="D148" s="65"/>
      <c r="E148" s="65"/>
      <c r="F148" s="54"/>
      <c r="G148" s="55"/>
    </row>
    <row r="149" ht="22.5" customHeight="1">
      <c r="A149" s="52"/>
      <c r="B149" s="53"/>
      <c r="C149" s="65"/>
      <c r="D149" s="65"/>
      <c r="E149" s="65"/>
      <c r="F149" s="54"/>
      <c r="G149" s="55"/>
    </row>
    <row r="150" ht="22.5" customHeight="1">
      <c r="A150" s="52"/>
      <c r="B150" s="53"/>
      <c r="C150" s="65"/>
      <c r="D150" s="65"/>
      <c r="E150" s="65"/>
      <c r="F150" s="54"/>
      <c r="G150" s="55"/>
    </row>
    <row r="151" ht="22.5" customHeight="1">
      <c r="A151" s="52"/>
      <c r="B151" s="53"/>
      <c r="C151" s="65"/>
      <c r="D151" s="65"/>
      <c r="E151" s="65"/>
      <c r="F151" s="54"/>
      <c r="G151" s="55"/>
    </row>
    <row r="152" ht="22.5" customHeight="1">
      <c r="A152" s="52"/>
      <c r="B152" s="53"/>
      <c r="C152" s="65"/>
      <c r="D152" s="65"/>
      <c r="E152" s="65"/>
      <c r="F152" s="54"/>
      <c r="G152" s="55"/>
    </row>
    <row r="153" ht="22.5" customHeight="1">
      <c r="A153" s="52"/>
      <c r="B153" s="53"/>
      <c r="C153" s="65"/>
      <c r="D153" s="65"/>
      <c r="E153" s="65"/>
      <c r="F153" s="54"/>
      <c r="G153" s="55"/>
    </row>
  </sheetData>
  <drawing r:id="rId1"/>
  <tableParts count="1">
    <tablePart r:id="rId3"/>
  </tableParts>
</worksheet>
</file>