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13_ncr:1_{5F1894C9-9E2D-4683-BB9B-F7229E9BC5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una" sheetId="1" r:id="rId1"/>
    <sheet name="Cópia de Fauna" sheetId="2" r:id="rId2"/>
  </sheets>
  <definedNames>
    <definedName name="_xlnm._FilterDatabase" localSheetId="1" hidden="1">'Cópia de Fauna'!$B$1:$B$227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7" i="2" l="1"/>
  <c r="J227" i="2" s="1"/>
  <c r="H226" i="2"/>
  <c r="J226" i="2" s="1"/>
  <c r="H225" i="2"/>
  <c r="J225" i="2" s="1"/>
  <c r="H224" i="2"/>
  <c r="J224" i="2" s="1"/>
  <c r="H223" i="2"/>
  <c r="J223" i="2" s="1"/>
  <c r="H222" i="2"/>
  <c r="J222" i="2" s="1"/>
  <c r="H221" i="2"/>
  <c r="J221" i="2" s="1"/>
  <c r="H220" i="2"/>
  <c r="J220" i="2" s="1"/>
  <c r="H219" i="2"/>
  <c r="J219" i="2" s="1"/>
  <c r="H218" i="2"/>
  <c r="J218" i="2" s="1"/>
  <c r="H217" i="2"/>
  <c r="J217" i="2" s="1"/>
  <c r="H216" i="2"/>
  <c r="J216" i="2" s="1"/>
  <c r="H215" i="2"/>
  <c r="J215" i="2" s="1"/>
  <c r="H214" i="2"/>
  <c r="J214" i="2" s="1"/>
  <c r="H213" i="2"/>
  <c r="J213" i="2" s="1"/>
  <c r="H212" i="2"/>
  <c r="J212" i="2" s="1"/>
  <c r="H211" i="2"/>
  <c r="J211" i="2" s="1"/>
  <c r="H210" i="2"/>
  <c r="J210" i="2" s="1"/>
  <c r="H209" i="2"/>
  <c r="J209" i="2" s="1"/>
  <c r="H208" i="2"/>
  <c r="J208" i="2" s="1"/>
  <c r="H207" i="2"/>
  <c r="J207" i="2" s="1"/>
  <c r="H206" i="2"/>
  <c r="J206" i="2" s="1"/>
  <c r="H205" i="2"/>
  <c r="J205" i="2" s="1"/>
  <c r="H204" i="2"/>
  <c r="J204" i="2" s="1"/>
  <c r="H203" i="2"/>
  <c r="J203" i="2" s="1"/>
  <c r="H202" i="2"/>
  <c r="J202" i="2" s="1"/>
  <c r="H201" i="2"/>
  <c r="J201" i="2" s="1"/>
  <c r="H200" i="2"/>
  <c r="J200" i="2" s="1"/>
  <c r="H199" i="2"/>
  <c r="J199" i="2" s="1"/>
  <c r="H198" i="2"/>
  <c r="J198" i="2" s="1"/>
  <c r="H197" i="2"/>
  <c r="J197" i="2" s="1"/>
  <c r="H196" i="2"/>
  <c r="J196" i="2" s="1"/>
  <c r="H195" i="2"/>
  <c r="J195" i="2" s="1"/>
  <c r="H194" i="2"/>
  <c r="J194" i="2" s="1"/>
  <c r="H193" i="2"/>
  <c r="J193" i="2" s="1"/>
  <c r="H192" i="2"/>
  <c r="J192" i="2" s="1"/>
  <c r="H191" i="2"/>
  <c r="J191" i="2" s="1"/>
  <c r="H190" i="2"/>
  <c r="J190" i="2" s="1"/>
  <c r="H189" i="2"/>
  <c r="J189" i="2" s="1"/>
  <c r="H188" i="2"/>
  <c r="J188" i="2" s="1"/>
  <c r="H187" i="2"/>
  <c r="J187" i="2" s="1"/>
  <c r="H186" i="2"/>
  <c r="J186" i="2" s="1"/>
  <c r="H185" i="2"/>
  <c r="J185" i="2" s="1"/>
  <c r="H184" i="2"/>
  <c r="J184" i="2" s="1"/>
  <c r="H183" i="2"/>
  <c r="J183" i="2" s="1"/>
  <c r="H182" i="2"/>
  <c r="J182" i="2" s="1"/>
  <c r="H181" i="2"/>
  <c r="J181" i="2" s="1"/>
  <c r="H180" i="2"/>
  <c r="J180" i="2" s="1"/>
  <c r="H179" i="2"/>
  <c r="J179" i="2" s="1"/>
  <c r="H178" i="2"/>
  <c r="J178" i="2" s="1"/>
  <c r="H177" i="2"/>
  <c r="J177" i="2" s="1"/>
  <c r="H176" i="2"/>
  <c r="J176" i="2" s="1"/>
  <c r="H175" i="2"/>
  <c r="J175" i="2" s="1"/>
  <c r="H174" i="2"/>
  <c r="J174" i="2" s="1"/>
  <c r="H173" i="2"/>
  <c r="J173" i="2" s="1"/>
  <c r="H172" i="2"/>
  <c r="J172" i="2" s="1"/>
  <c r="H171" i="2"/>
  <c r="J171" i="2" s="1"/>
  <c r="H170" i="2"/>
  <c r="J170" i="2" s="1"/>
  <c r="H169" i="2"/>
  <c r="J169" i="2" s="1"/>
  <c r="H168" i="2"/>
  <c r="J168" i="2" s="1"/>
  <c r="H167" i="2"/>
  <c r="J167" i="2" s="1"/>
  <c r="H166" i="2"/>
  <c r="J166" i="2" s="1"/>
  <c r="H165" i="2"/>
  <c r="J165" i="2" s="1"/>
  <c r="H164" i="2"/>
  <c r="J164" i="2" s="1"/>
  <c r="H163" i="2"/>
  <c r="J163" i="2" s="1"/>
  <c r="H162" i="2"/>
  <c r="J162" i="2" s="1"/>
  <c r="H161" i="2"/>
  <c r="J161" i="2" s="1"/>
  <c r="H160" i="2"/>
  <c r="J160" i="2" s="1"/>
  <c r="H159" i="2"/>
  <c r="J159" i="2" s="1"/>
  <c r="H158" i="2"/>
  <c r="J158" i="2" s="1"/>
  <c r="H157" i="2"/>
  <c r="J157" i="2" s="1"/>
  <c r="H156" i="2"/>
  <c r="J156" i="2" s="1"/>
  <c r="H155" i="2"/>
  <c r="J155" i="2" s="1"/>
  <c r="H154" i="2"/>
  <c r="J154" i="2" s="1"/>
  <c r="H153" i="2"/>
  <c r="J153" i="2" s="1"/>
  <c r="H152" i="2"/>
  <c r="J152" i="2" s="1"/>
  <c r="H151" i="2"/>
  <c r="J151" i="2" s="1"/>
  <c r="H150" i="2"/>
  <c r="J150" i="2" s="1"/>
  <c r="H149" i="2"/>
  <c r="J149" i="2" s="1"/>
  <c r="H148" i="2"/>
  <c r="J148" i="2" s="1"/>
  <c r="H147" i="2"/>
  <c r="J147" i="2" s="1"/>
  <c r="H146" i="2"/>
  <c r="J146" i="2" s="1"/>
  <c r="H145" i="2"/>
  <c r="J145" i="2" s="1"/>
  <c r="H144" i="2"/>
  <c r="J144" i="2" s="1"/>
  <c r="H143" i="2"/>
  <c r="J143" i="2" s="1"/>
  <c r="H142" i="2"/>
  <c r="J142" i="2" s="1"/>
  <c r="H141" i="2"/>
  <c r="J141" i="2" s="1"/>
  <c r="H140" i="2"/>
  <c r="J140" i="2" s="1"/>
  <c r="H139" i="2"/>
  <c r="J139" i="2" s="1"/>
  <c r="H138" i="2"/>
  <c r="J138" i="2" s="1"/>
  <c r="H137" i="2"/>
  <c r="J137" i="2" s="1"/>
  <c r="H136" i="2"/>
  <c r="J136" i="2" s="1"/>
  <c r="H135" i="2"/>
  <c r="J135" i="2" s="1"/>
  <c r="H134" i="2"/>
  <c r="J134" i="2" s="1"/>
  <c r="H133" i="2"/>
  <c r="J133" i="2" s="1"/>
  <c r="H132" i="2"/>
  <c r="J132" i="2" s="1"/>
  <c r="H131" i="2"/>
  <c r="J131" i="2" s="1"/>
  <c r="H130" i="2"/>
  <c r="J130" i="2" s="1"/>
  <c r="H129" i="2"/>
  <c r="J129" i="2" s="1"/>
  <c r="H128" i="2"/>
  <c r="J128" i="2" s="1"/>
  <c r="H127" i="2"/>
  <c r="J127" i="2" s="1"/>
  <c r="H126" i="2"/>
  <c r="J126" i="2" s="1"/>
  <c r="H125" i="2"/>
  <c r="J125" i="2" s="1"/>
  <c r="H124" i="2"/>
  <c r="J124" i="2" s="1"/>
  <c r="H123" i="2"/>
  <c r="J123" i="2" s="1"/>
  <c r="H122" i="2"/>
  <c r="J122" i="2" s="1"/>
  <c r="H121" i="2"/>
  <c r="J121" i="2" s="1"/>
  <c r="H120" i="2"/>
  <c r="J120" i="2" s="1"/>
  <c r="H119" i="2"/>
  <c r="J119" i="2" s="1"/>
  <c r="H118" i="2"/>
  <c r="J118" i="2" s="1"/>
  <c r="H117" i="2"/>
  <c r="J117" i="2" s="1"/>
  <c r="H116" i="2"/>
  <c r="J116" i="2" s="1"/>
  <c r="H115" i="2"/>
  <c r="J115" i="2" s="1"/>
  <c r="H114" i="2"/>
  <c r="J114" i="2" s="1"/>
  <c r="H113" i="2"/>
  <c r="J113" i="2" s="1"/>
  <c r="H112" i="2"/>
  <c r="J112" i="2" s="1"/>
  <c r="H111" i="2"/>
  <c r="J111" i="2" s="1"/>
  <c r="H110" i="2"/>
  <c r="J110" i="2" s="1"/>
  <c r="H109" i="2"/>
  <c r="J109" i="2" s="1"/>
  <c r="H108" i="2"/>
  <c r="J108" i="2" s="1"/>
  <c r="H107" i="2"/>
  <c r="J107" i="2" s="1"/>
  <c r="H106" i="2"/>
  <c r="J106" i="2" s="1"/>
  <c r="H105" i="2"/>
  <c r="J105" i="2" s="1"/>
  <c r="H104" i="2"/>
  <c r="J104" i="2" s="1"/>
  <c r="H103" i="2"/>
  <c r="J103" i="2" s="1"/>
  <c r="H102" i="2"/>
  <c r="J102" i="2" s="1"/>
  <c r="H101" i="2"/>
  <c r="J101" i="2" s="1"/>
  <c r="H100" i="2"/>
  <c r="J100" i="2" s="1"/>
  <c r="H99" i="2"/>
  <c r="J99" i="2" s="1"/>
  <c r="H98" i="2"/>
  <c r="J98" i="2" s="1"/>
  <c r="H97" i="2"/>
  <c r="J97" i="2" s="1"/>
  <c r="H96" i="2"/>
  <c r="J96" i="2" s="1"/>
  <c r="H95" i="2"/>
  <c r="J95" i="2" s="1"/>
  <c r="H94" i="2"/>
  <c r="J94" i="2" s="1"/>
  <c r="H93" i="2"/>
  <c r="J93" i="2" s="1"/>
  <c r="H92" i="2"/>
  <c r="J92" i="2" s="1"/>
  <c r="H91" i="2"/>
  <c r="J91" i="2" s="1"/>
  <c r="H90" i="2"/>
  <c r="J90" i="2" s="1"/>
  <c r="H89" i="2"/>
  <c r="J89" i="2" s="1"/>
  <c r="H88" i="2"/>
  <c r="J88" i="2" s="1"/>
  <c r="H87" i="2"/>
  <c r="J87" i="2" s="1"/>
  <c r="H86" i="2"/>
  <c r="J86" i="2" s="1"/>
  <c r="H85" i="2"/>
  <c r="J85" i="2" s="1"/>
  <c r="H84" i="2"/>
  <c r="J84" i="2" s="1"/>
  <c r="H83" i="2"/>
  <c r="J83" i="2" s="1"/>
  <c r="H82" i="2"/>
  <c r="J82" i="2" s="1"/>
  <c r="H81" i="2"/>
  <c r="J81" i="2" s="1"/>
  <c r="H80" i="2"/>
  <c r="J80" i="2" s="1"/>
  <c r="H79" i="2"/>
  <c r="J79" i="2" s="1"/>
  <c r="H78" i="2"/>
  <c r="J78" i="2" s="1"/>
  <c r="H77" i="2"/>
  <c r="J77" i="2" s="1"/>
  <c r="H76" i="2"/>
  <c r="J76" i="2" s="1"/>
  <c r="H75" i="2"/>
  <c r="J75" i="2" s="1"/>
  <c r="H74" i="2"/>
  <c r="J74" i="2" s="1"/>
  <c r="H73" i="2"/>
  <c r="J73" i="2" s="1"/>
  <c r="H72" i="2"/>
  <c r="J72" i="2" s="1"/>
  <c r="H71" i="2"/>
  <c r="J71" i="2" s="1"/>
  <c r="H70" i="2"/>
  <c r="J70" i="2" s="1"/>
  <c r="H69" i="2"/>
  <c r="J69" i="2" s="1"/>
  <c r="H68" i="2"/>
  <c r="J68" i="2" s="1"/>
  <c r="H67" i="2"/>
  <c r="J67" i="2" s="1"/>
  <c r="H66" i="2"/>
  <c r="J66" i="2" s="1"/>
  <c r="H65" i="2"/>
  <c r="J65" i="2" s="1"/>
  <c r="H64" i="2"/>
  <c r="J64" i="2" s="1"/>
  <c r="H63" i="2"/>
  <c r="J63" i="2" s="1"/>
  <c r="H62" i="2"/>
  <c r="J62" i="2" s="1"/>
  <c r="H61" i="2"/>
  <c r="J61" i="2" s="1"/>
  <c r="H60" i="2"/>
  <c r="J60" i="2" s="1"/>
  <c r="H59" i="2"/>
  <c r="J59" i="2" s="1"/>
  <c r="H58" i="2"/>
  <c r="J58" i="2" s="1"/>
  <c r="H57" i="2"/>
  <c r="J57" i="2" s="1"/>
  <c r="H56" i="2"/>
  <c r="J56" i="2" s="1"/>
  <c r="H55" i="2"/>
  <c r="J55" i="2" s="1"/>
  <c r="H54" i="2"/>
  <c r="J54" i="2" s="1"/>
  <c r="H53" i="2"/>
  <c r="J53" i="2" s="1"/>
  <c r="H52" i="2"/>
  <c r="J52" i="2" s="1"/>
  <c r="H51" i="2"/>
  <c r="J51" i="2" s="1"/>
  <c r="H50" i="2"/>
  <c r="J50" i="2" s="1"/>
  <c r="H49" i="2"/>
  <c r="J49" i="2" s="1"/>
  <c r="H48" i="2"/>
  <c r="J48" i="2" s="1"/>
  <c r="H47" i="2"/>
  <c r="J47" i="2" s="1"/>
  <c r="H46" i="2"/>
  <c r="J46" i="2" s="1"/>
  <c r="H45" i="2"/>
  <c r="J45" i="2" s="1"/>
  <c r="H44" i="2"/>
  <c r="J44" i="2" s="1"/>
  <c r="H43" i="2"/>
  <c r="J43" i="2" s="1"/>
  <c r="H42" i="2"/>
  <c r="J42" i="2" s="1"/>
  <c r="H41" i="2"/>
  <c r="J41" i="2" s="1"/>
  <c r="H40" i="2"/>
  <c r="J40" i="2" s="1"/>
  <c r="H39" i="2"/>
  <c r="J39" i="2" s="1"/>
  <c r="H38" i="2"/>
  <c r="J38" i="2" s="1"/>
  <c r="H37" i="2"/>
  <c r="J37" i="2" s="1"/>
  <c r="H36" i="2"/>
  <c r="J36" i="2" s="1"/>
  <c r="H35" i="2"/>
  <c r="J35" i="2" s="1"/>
  <c r="H34" i="2"/>
  <c r="J34" i="2" s="1"/>
  <c r="H33" i="2"/>
  <c r="J33" i="2" s="1"/>
  <c r="H32" i="2"/>
  <c r="J32" i="2" s="1"/>
  <c r="H31" i="2"/>
  <c r="J31" i="2" s="1"/>
  <c r="H30" i="2"/>
  <c r="J30" i="2" s="1"/>
  <c r="H29" i="2"/>
  <c r="J29" i="2" s="1"/>
  <c r="H28" i="2"/>
  <c r="J28" i="2" s="1"/>
  <c r="H27" i="2"/>
  <c r="J27" i="2" s="1"/>
  <c r="H26" i="2"/>
  <c r="J26" i="2" s="1"/>
  <c r="H25" i="2"/>
  <c r="J25" i="2" s="1"/>
  <c r="H24" i="2"/>
  <c r="J24" i="2" s="1"/>
  <c r="H23" i="2"/>
  <c r="J23" i="2" s="1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H15" i="2"/>
  <c r="J15" i="2" s="1"/>
  <c r="H14" i="2"/>
  <c r="J14" i="2" s="1"/>
  <c r="H13" i="2"/>
  <c r="J13" i="2" s="1"/>
  <c r="H12" i="2"/>
  <c r="J12" i="2" s="1"/>
  <c r="H11" i="2"/>
  <c r="J11" i="2" s="1"/>
  <c r="H10" i="2"/>
  <c r="J10" i="2" s="1"/>
  <c r="H9" i="2"/>
  <c r="J9" i="2" s="1"/>
  <c r="H8" i="2"/>
  <c r="J8" i="2" s="1"/>
  <c r="H7" i="2"/>
  <c r="J7" i="2" s="1"/>
  <c r="H6" i="2"/>
  <c r="J6" i="2" s="1"/>
  <c r="H5" i="2"/>
  <c r="J5" i="2" s="1"/>
  <c r="H4" i="2"/>
  <c r="J4" i="2" s="1"/>
  <c r="H3" i="2"/>
  <c r="J3" i="2" s="1"/>
  <c r="H2" i="2"/>
  <c r="J2" i="2" s="1"/>
</calcChain>
</file>

<file path=xl/sharedStrings.xml><?xml version="1.0" encoding="utf-8"?>
<sst xmlns="http://schemas.openxmlformats.org/spreadsheetml/2006/main" count="3177" uniqueCount="737">
  <si>
    <t>classe_taxonomica</t>
  </si>
  <si>
    <t>nome_popular</t>
  </si>
  <si>
    <t>nome_cientifico</t>
  </si>
  <si>
    <t>ordem _taxonomica</t>
  </si>
  <si>
    <t>estado_de_conservacao</t>
  </si>
  <si>
    <t>tipo_de_fauna</t>
  </si>
  <si>
    <t>AVES</t>
  </si>
  <si>
    <t>Alma de Gato</t>
  </si>
  <si>
    <t xml:space="preserve">(Piaya cayana) </t>
  </si>
  <si>
    <t>Cuculiformes</t>
  </si>
  <si>
    <t>Pouco Preocupante</t>
  </si>
  <si>
    <t>Silvestre</t>
  </si>
  <si>
    <t>Andorinha</t>
  </si>
  <si>
    <t>Tyrannus savana</t>
  </si>
  <si>
    <t>Passeriformes</t>
  </si>
  <si>
    <t>Anu Branco</t>
  </si>
  <si>
    <t>Guira guira</t>
  </si>
  <si>
    <t>Anu Preto</t>
  </si>
  <si>
    <t>Crotophaga ani</t>
  </si>
  <si>
    <t>Araçari Castanho</t>
  </si>
  <si>
    <t>Pteroglossus castanotis</t>
  </si>
  <si>
    <t>Piciformes</t>
  </si>
  <si>
    <t>Arara Canindé</t>
  </si>
  <si>
    <t>Ara ararauna</t>
  </si>
  <si>
    <t>Psittaciformes</t>
  </si>
  <si>
    <t>Vulnerável</t>
  </si>
  <si>
    <t>Arara Maracanã</t>
  </si>
  <si>
    <t>Primolius maracanA</t>
  </si>
  <si>
    <t>Azulão</t>
  </si>
  <si>
    <t>Cyanocompsa brissonii</t>
  </si>
  <si>
    <t>Bacurau</t>
  </si>
  <si>
    <t>Nyctidromus albicollis</t>
  </si>
  <si>
    <t>Charadriiformes</t>
  </si>
  <si>
    <t>Baiano</t>
  </si>
  <si>
    <t>Sporophila nigricollis</t>
  </si>
  <si>
    <t>Beija Flor</t>
  </si>
  <si>
    <t>Florisuga fusca</t>
  </si>
  <si>
    <t>Apodiformes</t>
  </si>
  <si>
    <t>Bem Te Vi</t>
  </si>
  <si>
    <t>Pitangus sulphuratus</t>
  </si>
  <si>
    <t>Bico de Lacre</t>
  </si>
  <si>
    <t>Estrilda astrild</t>
  </si>
  <si>
    <t>Exótico</t>
  </si>
  <si>
    <t>Bico de Pimenta</t>
  </si>
  <si>
    <t>Saltator fuliginosus</t>
  </si>
  <si>
    <t>Bicudo Verdadeiro</t>
  </si>
  <si>
    <t>Oryzoborus maximiliani</t>
  </si>
  <si>
    <t>Bigodinho</t>
  </si>
  <si>
    <t>Sporophila lineola</t>
  </si>
  <si>
    <t>Biguá</t>
  </si>
  <si>
    <t>Phalacrocorax brasilianus</t>
  </si>
  <si>
    <t>Pelecaniformes</t>
  </si>
  <si>
    <t>Biguatinga</t>
  </si>
  <si>
    <t>Anhinga anhinga</t>
  </si>
  <si>
    <t>Caboclinho</t>
  </si>
  <si>
    <t>Sporophila pileata</t>
  </si>
  <si>
    <t>Canário Belga</t>
  </si>
  <si>
    <t>Serinus canaria</t>
  </si>
  <si>
    <t>Canário da Terra</t>
  </si>
  <si>
    <t>Sicalis flaveola</t>
  </si>
  <si>
    <t>Carcará</t>
  </si>
  <si>
    <t>Caracara plancus</t>
  </si>
  <si>
    <t>Falconiformes</t>
  </si>
  <si>
    <t>Cardeal do Nordeste</t>
  </si>
  <si>
    <t>Paroaria dominicana</t>
  </si>
  <si>
    <t>Cardeal do Pantanal</t>
  </si>
  <si>
    <t>Paroaria capitata</t>
  </si>
  <si>
    <t>Cardeal do Sul</t>
  </si>
  <si>
    <t>Paroaria coronata</t>
  </si>
  <si>
    <t>Coleiro</t>
  </si>
  <si>
    <t>Sporophila caerulescens</t>
  </si>
  <si>
    <t>Corrupião</t>
  </si>
  <si>
    <t>Icterus jamacaii</t>
  </si>
  <si>
    <t>Coruja Buraqueira</t>
  </si>
  <si>
    <t>Athene cunicularia</t>
  </si>
  <si>
    <t>Strigiformes</t>
  </si>
  <si>
    <t>Coruja Caburé</t>
  </si>
  <si>
    <t>Glaucidium brasilianum</t>
  </si>
  <si>
    <t>Coruja Orelhuda</t>
  </si>
  <si>
    <t>Pseudoscops clamator</t>
  </si>
  <si>
    <t>Coruja Preta</t>
  </si>
  <si>
    <t>Strix huhula</t>
  </si>
  <si>
    <t>Coruja Suindara</t>
  </si>
  <si>
    <t>Tyto furcata</t>
  </si>
  <si>
    <t>Corujinha da Mata</t>
  </si>
  <si>
    <t>Megascops choliba</t>
  </si>
  <si>
    <t>Curiango</t>
  </si>
  <si>
    <t>Curicaca</t>
  </si>
  <si>
    <t>Theristicus caudatus</t>
  </si>
  <si>
    <t>Ciconiiformes</t>
  </si>
  <si>
    <t>Curió</t>
  </si>
  <si>
    <t>Oryzoborus angolensis</t>
  </si>
  <si>
    <t>Frango d’Água</t>
  </si>
  <si>
    <t>Gallinula galeata</t>
  </si>
  <si>
    <t>Gruiformes</t>
  </si>
  <si>
    <t>Garça Branca</t>
  </si>
  <si>
    <t>Ardea alba</t>
  </si>
  <si>
    <t>Garibaldi</t>
  </si>
  <si>
    <t>Chrysomus ruficapillus</t>
  </si>
  <si>
    <t>Icteriformes</t>
  </si>
  <si>
    <t>Gaturamo Verdadeiro</t>
  </si>
  <si>
    <t>Euphonia violacea</t>
  </si>
  <si>
    <t>Gavião Carijó</t>
  </si>
  <si>
    <t>Rupornis magnirostris</t>
  </si>
  <si>
    <t>Gavião Quiriquiri</t>
  </si>
  <si>
    <t>Falco sparverius</t>
  </si>
  <si>
    <t>Golinho</t>
  </si>
  <si>
    <t>Sporophila albogularis</t>
  </si>
  <si>
    <t>Gralha Cancã</t>
  </si>
  <si>
    <t>Cyanocorax cyanopogon</t>
  </si>
  <si>
    <t>Iraúna Grande</t>
  </si>
  <si>
    <t>Molothrus oryzivorus</t>
  </si>
  <si>
    <t>Irerê</t>
  </si>
  <si>
    <t>Dendrocygna viduata</t>
  </si>
  <si>
    <t>Anatidae</t>
  </si>
  <si>
    <t>Jandaia</t>
  </si>
  <si>
    <t>Aratinga jandaya</t>
  </si>
  <si>
    <t>João de Barro</t>
  </si>
  <si>
    <t>Furnarius rufus</t>
  </si>
  <si>
    <t>Juruva</t>
  </si>
  <si>
    <t>Baryphthengus ruficapillus</t>
  </si>
  <si>
    <t>Maria Faceira</t>
  </si>
  <si>
    <t>Syrigma sibilatrix</t>
  </si>
  <si>
    <t>Cariamiformes</t>
  </si>
  <si>
    <t>Maritaca</t>
  </si>
  <si>
    <t>Pionus maximiliani</t>
  </si>
  <si>
    <t>Marreco</t>
  </si>
  <si>
    <t>Anas platyrhynchos domesticus</t>
  </si>
  <si>
    <t>Martim Pescador</t>
  </si>
  <si>
    <t>Megaceryle torquata</t>
  </si>
  <si>
    <t>Coraciiformes</t>
  </si>
  <si>
    <t>Melro</t>
  </si>
  <si>
    <t>Turdus merula</t>
  </si>
  <si>
    <t>Mutum</t>
  </si>
  <si>
    <t>Crax fasciolata</t>
  </si>
  <si>
    <t>Galliformes</t>
  </si>
  <si>
    <t>Papa Capim</t>
  </si>
  <si>
    <t>Papa Lagarta</t>
  </si>
  <si>
    <t>Coccyzus melacoryphus</t>
  </si>
  <si>
    <t>Papagaio do Mangue</t>
  </si>
  <si>
    <t>Amazona amazonica</t>
  </si>
  <si>
    <t>Papagaio Galego</t>
  </si>
  <si>
    <t>Alipiopsitta xanthops</t>
  </si>
  <si>
    <t>Papagaio Verdadeiro</t>
  </si>
  <si>
    <t>Amazona aestiva</t>
  </si>
  <si>
    <t>Pouco preocupante</t>
  </si>
  <si>
    <t>Patativa</t>
  </si>
  <si>
    <t>Sporophila plumbea</t>
  </si>
  <si>
    <t>Pato</t>
  </si>
  <si>
    <t>Paturi</t>
  </si>
  <si>
    <t>Netta erythrophthalma</t>
  </si>
  <si>
    <t>Perdiz</t>
  </si>
  <si>
    <t>Rhynchotus rufescens</t>
  </si>
  <si>
    <t>Periquito do Encontro</t>
  </si>
  <si>
    <t>Brotogeris chiriri</t>
  </si>
  <si>
    <t>Periquito Maracanã</t>
  </si>
  <si>
    <t>Psittacara leucophthalmus</t>
  </si>
  <si>
    <t>Periquito Rei</t>
  </si>
  <si>
    <t>Eupsittula aurea</t>
  </si>
  <si>
    <t>Periquito Rico</t>
  </si>
  <si>
    <t>Brotogeris tirica</t>
  </si>
  <si>
    <t>Pica Pau</t>
  </si>
  <si>
    <t>Campephilus robustus</t>
  </si>
  <si>
    <t>Pintassilgo</t>
  </si>
  <si>
    <t>Carduelis carduelis</t>
  </si>
  <si>
    <t>Pomba do Bando</t>
  </si>
  <si>
    <t>Zenaida auriculata</t>
  </si>
  <si>
    <t>Columbiformes</t>
  </si>
  <si>
    <t>Pomba Verdadeira</t>
  </si>
  <si>
    <t>Patagioenas picazuro</t>
  </si>
  <si>
    <t>Quero Quero</t>
  </si>
  <si>
    <t>Vanellus chilensis</t>
  </si>
  <si>
    <t>Rolinha Cinzenta</t>
  </si>
  <si>
    <t>Columbina passerina</t>
  </si>
  <si>
    <t>Rolinha Roxa</t>
  </si>
  <si>
    <t>Columbina talpacoti</t>
  </si>
  <si>
    <t>Rouxinol do Encontro</t>
  </si>
  <si>
    <t>Luscinia megarhynchos</t>
  </si>
  <si>
    <t>Sabiá Barranco</t>
  </si>
  <si>
    <t>Turdus leucomelas</t>
  </si>
  <si>
    <t>Sabiá do Campo</t>
  </si>
  <si>
    <t>Mimus saturninus</t>
  </si>
  <si>
    <t>Sabiá Laranjeira</t>
  </si>
  <si>
    <t>Turdus rufiventris</t>
  </si>
  <si>
    <t>Saíra Amarela</t>
  </si>
  <si>
    <t>Tangara cayana</t>
  </si>
  <si>
    <t>Sanhaço Cinzento</t>
  </si>
  <si>
    <t>Thraupis sayaca</t>
  </si>
  <si>
    <t>Sanhaço Coqueiro</t>
  </si>
  <si>
    <t>Thraupis palmarum</t>
  </si>
  <si>
    <t>Saracura</t>
  </si>
  <si>
    <t>Aramides saracura</t>
  </si>
  <si>
    <t>Seriema</t>
  </si>
  <si>
    <t>Cariama cristata</t>
  </si>
  <si>
    <t>Socó</t>
  </si>
  <si>
    <t>Botaurus pinnatus</t>
  </si>
  <si>
    <t>Suiriri Cavaleiro</t>
  </si>
  <si>
    <t>Tyrannidae</t>
  </si>
  <si>
    <t>Tesourinha</t>
  </si>
  <si>
    <t>Tico Tico Rei</t>
  </si>
  <si>
    <t>Coryphospingus ptleatus</t>
  </si>
  <si>
    <t>Tiziu</t>
  </si>
  <si>
    <t>Volatinia jacarina</t>
  </si>
  <si>
    <t>Trinca Ferro</t>
  </si>
  <si>
    <t>Saltator maximus</t>
  </si>
  <si>
    <t>Tucano</t>
  </si>
  <si>
    <t>Ramphastos toco</t>
  </si>
  <si>
    <t>Tuim</t>
  </si>
  <si>
    <t>Forpus xanthopterygius</t>
  </si>
  <si>
    <t>Urubu</t>
  </si>
  <si>
    <t>Coragyps atratus</t>
  </si>
  <si>
    <t>Accipitriformes</t>
  </si>
  <si>
    <t>Urutau</t>
  </si>
  <si>
    <t>Nyctibius griseus</t>
  </si>
  <si>
    <t>Caprimulgiformes</t>
  </si>
  <si>
    <t>Xexéu</t>
  </si>
  <si>
    <t>Cacicus cela</t>
  </si>
  <si>
    <t>MAMÍFEROS</t>
  </si>
  <si>
    <t>Anta</t>
  </si>
  <si>
    <t>Tapirus terrestris</t>
  </si>
  <si>
    <t>Perissodactyla</t>
  </si>
  <si>
    <t>Bicho preguiça</t>
  </si>
  <si>
    <t>Bradypus variegatus</t>
  </si>
  <si>
    <t>Pilosa</t>
  </si>
  <si>
    <t>Bugio/Guariba</t>
  </si>
  <si>
    <t>Alouatta guariba</t>
  </si>
  <si>
    <t>Primates</t>
  </si>
  <si>
    <t>Cachorro do mato</t>
  </si>
  <si>
    <t>Cerdocyon thous</t>
  </si>
  <si>
    <t>Carnivora</t>
  </si>
  <si>
    <t>Cachorro doméstico</t>
  </si>
  <si>
    <t>Canis lupus familiaris</t>
  </si>
  <si>
    <t>Cachorro vinagre</t>
  </si>
  <si>
    <t>Speothos venaticus</t>
  </si>
  <si>
    <t>Quase Ameaçada</t>
  </si>
  <si>
    <t>Capivara</t>
  </si>
  <si>
    <t>Hydrochoerus hydrochaeris</t>
  </si>
  <si>
    <t>Rodentia</t>
  </si>
  <si>
    <t>Catitu</t>
  </si>
  <si>
    <t>Pecari tajacu</t>
  </si>
  <si>
    <t>Artiodactyla</t>
  </si>
  <si>
    <t>Cavalo</t>
  </si>
  <si>
    <t>Equus caballus</t>
  </si>
  <si>
    <t>Chinchila</t>
  </si>
  <si>
    <t>Chinchilla lanigera</t>
  </si>
  <si>
    <t>Cuíca verdadeiro</t>
  </si>
  <si>
    <t>Philander opossum</t>
  </si>
  <si>
    <t>Didelphimorphia</t>
  </si>
  <si>
    <t>Cutia</t>
  </si>
  <si>
    <t>Dasyprocta leporina</t>
  </si>
  <si>
    <t>Furão</t>
  </si>
  <si>
    <t>Mustela putorius furo</t>
  </si>
  <si>
    <t>Gato do mato</t>
  </si>
  <si>
    <t>Leopardus tigrinus</t>
  </si>
  <si>
    <t>Gato do mato pequeno</t>
  </si>
  <si>
    <t>Leopardus guttulus</t>
  </si>
  <si>
    <t>Guaxinim</t>
  </si>
  <si>
    <t>Procyon lotor</t>
  </si>
  <si>
    <t>Jaguarundi</t>
  </si>
  <si>
    <t>Puma yagouaroundi</t>
  </si>
  <si>
    <t>Jaguatirica</t>
  </si>
  <si>
    <t>Leopardus pardalis</t>
  </si>
  <si>
    <t>Jaritataca</t>
  </si>
  <si>
    <t>Conepatus semistriatus</t>
  </si>
  <si>
    <t>Lobo guará</t>
  </si>
  <si>
    <t>Chrysocyon brachyurus</t>
  </si>
  <si>
    <t>Lontra</t>
  </si>
  <si>
    <t>Lontra longicaubis</t>
  </si>
  <si>
    <t>Mico estrela</t>
  </si>
  <si>
    <t>Callithrix penicillata</t>
  </si>
  <si>
    <t>Morcego</t>
  </si>
  <si>
    <t>Chiroptera</t>
  </si>
  <si>
    <t>Onça</t>
  </si>
  <si>
    <t>Panthera onca</t>
  </si>
  <si>
    <t>Paca</t>
  </si>
  <si>
    <t>Cuniculus paca</t>
  </si>
  <si>
    <t>Porco espinho</t>
  </si>
  <si>
    <t>Coendou prehensilis</t>
  </si>
  <si>
    <t>Prego</t>
  </si>
  <si>
    <t>Cepajus robustus</t>
  </si>
  <si>
    <t>Quati</t>
  </si>
  <si>
    <t>Nasua nasua</t>
  </si>
  <si>
    <t>Raposa</t>
  </si>
  <si>
    <t>Vulpes vulpes</t>
  </si>
  <si>
    <t>Sagui</t>
  </si>
  <si>
    <t>Callithrix jacchus</t>
  </si>
  <si>
    <t>Sagui do tufo preto</t>
  </si>
  <si>
    <t>Callithrix pennicillata</t>
  </si>
  <si>
    <t>Sarué</t>
  </si>
  <si>
    <t>Didelphis albiventris</t>
  </si>
  <si>
    <t>Sucuarana</t>
  </si>
  <si>
    <t>Puma concolor</t>
  </si>
  <si>
    <t>Tamanduá bandeira</t>
  </si>
  <si>
    <t>Myrmecophaga tridactyla</t>
  </si>
  <si>
    <t>Tamanduá mirim</t>
  </si>
  <si>
    <t>Tamandua tetradactyla</t>
  </si>
  <si>
    <t>Tatu bola</t>
  </si>
  <si>
    <t>Tolypeutes tricinctus</t>
  </si>
  <si>
    <t>Cingulata</t>
  </si>
  <si>
    <t>Tatu canastra</t>
  </si>
  <si>
    <t>Priosontes maximus</t>
  </si>
  <si>
    <t>Tatu de rabo mole</t>
  </si>
  <si>
    <t>Cabassous unicinctus</t>
  </si>
  <si>
    <t>Tatu galinha</t>
  </si>
  <si>
    <t>Dasypus novemcinctus</t>
  </si>
  <si>
    <t>Tatu peba</t>
  </si>
  <si>
    <t>Euphractus sexcinctus</t>
  </si>
  <si>
    <t>Veado campeiro</t>
  </si>
  <si>
    <t>Ozotoceros bezoarticus</t>
  </si>
  <si>
    <t>Criticamente Ameaçado</t>
  </si>
  <si>
    <t>Veado catingueiro</t>
  </si>
  <si>
    <t>Mazama bororo</t>
  </si>
  <si>
    <t>Veado mateiro</t>
  </si>
  <si>
    <t>Mazama americana</t>
  </si>
  <si>
    <t>PEIXES</t>
  </si>
  <si>
    <t>Acará azul</t>
  </si>
  <si>
    <t>Astronotus ocellatus</t>
  </si>
  <si>
    <t>Cichliformes</t>
  </si>
  <si>
    <t>Menos Preocupante</t>
  </si>
  <si>
    <t>Acará Bandeira</t>
  </si>
  <si>
    <t>Cichlasoma dimerus</t>
  </si>
  <si>
    <t>Acará Disco</t>
  </si>
  <si>
    <t>Symphysodon discus</t>
  </si>
  <si>
    <t>Acará marrom</t>
  </si>
  <si>
    <t>Cichlasoma sp.</t>
  </si>
  <si>
    <t>Apaiari</t>
  </si>
  <si>
    <t>Pterophyllum scalare</t>
  </si>
  <si>
    <t>Bagre Açu</t>
  </si>
  <si>
    <t>Brachyplatystoma platynemum</t>
  </si>
  <si>
    <t>Pimelodidae</t>
  </si>
  <si>
    <t>Bagre Jandiá</t>
  </si>
  <si>
    <t>Rhamdia quelen</t>
  </si>
  <si>
    <t>Bagre Mexicano</t>
  </si>
  <si>
    <t>Hypostomus sp.</t>
  </si>
  <si>
    <t>Loricariidae</t>
  </si>
  <si>
    <t>Cachara</t>
  </si>
  <si>
    <t>Pseudoplatystoma fasciatum</t>
  </si>
  <si>
    <t>Cará</t>
  </si>
  <si>
    <t>Geophagus brasiliensis</t>
  </si>
  <si>
    <t>Cardinal</t>
  </si>
  <si>
    <t>Cheirodon axelrodi</t>
  </si>
  <si>
    <t>Characiformes</t>
  </si>
  <si>
    <t>Cascudinho</t>
  </si>
  <si>
    <t>Moenkhausia sp.</t>
  </si>
  <si>
    <t>Cascudo</t>
  </si>
  <si>
    <t>Ancistrus sp.</t>
  </si>
  <si>
    <t>Siluriformes</t>
  </si>
  <si>
    <t>Cascudo Guacari</t>
  </si>
  <si>
    <t>Hypostomus plecostomus</t>
  </si>
  <si>
    <t>Curimatã</t>
  </si>
  <si>
    <t>Prochilodus sp.</t>
  </si>
  <si>
    <t>Erythrinidae</t>
  </si>
  <si>
    <t>Curimba</t>
  </si>
  <si>
    <t>Prochilodus lineatus</t>
  </si>
  <si>
    <t>Dourado</t>
  </si>
  <si>
    <t>Brachyplatystoma rousseauxii</t>
  </si>
  <si>
    <t>Doradidae</t>
  </si>
  <si>
    <t>Salminus brasiliensis</t>
  </si>
  <si>
    <t>Jaraqui</t>
  </si>
  <si>
    <t>Semaprochilodus insignis</t>
  </si>
  <si>
    <t>Jau</t>
  </si>
  <si>
    <t>Zungaro zungaro</t>
  </si>
  <si>
    <t>Em Perigo</t>
  </si>
  <si>
    <t>Lambari do Rabo Amarelo</t>
  </si>
  <si>
    <t>Astyanax bimaculatus lacustris</t>
  </si>
  <si>
    <t>Cyprinidae</t>
  </si>
  <si>
    <t>Lambari dos Arroios</t>
  </si>
  <si>
    <t>Bryconamericus iheringii</t>
  </si>
  <si>
    <t>Lambari Tambiú</t>
  </si>
  <si>
    <t>Astyanax altiparanae</t>
  </si>
  <si>
    <t>Mato Grosso</t>
  </si>
  <si>
    <t>Hyphessobrycon eques</t>
  </si>
  <si>
    <t>Matogrossense</t>
  </si>
  <si>
    <t>Bryconpes reticulatus</t>
  </si>
  <si>
    <t>Matrinxã</t>
  </si>
  <si>
    <t>Brycon amazonicus</t>
  </si>
  <si>
    <t>Molinésia</t>
  </si>
  <si>
    <t>Poecilia reticulata</t>
  </si>
  <si>
    <t>Poeciliidae</t>
  </si>
  <si>
    <t>Pacu</t>
  </si>
  <si>
    <t>Piaractus mesopotamicus</t>
  </si>
  <si>
    <t>Peixe-mosquito</t>
  </si>
  <si>
    <t>Gambusia affinis</t>
  </si>
  <si>
    <t>Piaba</t>
  </si>
  <si>
    <t>Leporinus piava</t>
  </si>
  <si>
    <t>Anostomidae</t>
  </si>
  <si>
    <t>Piaba de preguiça</t>
  </si>
  <si>
    <t>Piabina elongata</t>
  </si>
  <si>
    <t>Piau</t>
  </si>
  <si>
    <t>Leporinus obtusidens</t>
  </si>
  <si>
    <t>Piau de Vara</t>
  </si>
  <si>
    <t>Schizodon fasciatus</t>
  </si>
  <si>
    <t>Pintado</t>
  </si>
  <si>
    <t>Pseudoplatystoma corruscans</t>
  </si>
  <si>
    <t>Piranha</t>
  </si>
  <si>
    <t>Serrasalmus gouldingi</t>
  </si>
  <si>
    <t>Serrasalmidae</t>
  </si>
  <si>
    <t>Piranha Preta</t>
  </si>
  <si>
    <t>Serrasalmus altispinis</t>
  </si>
  <si>
    <t>Piranha Vermelha</t>
  </si>
  <si>
    <t>Pygocentrus nattereri</t>
  </si>
  <si>
    <t>Pirapitinga</t>
  </si>
  <si>
    <t>Brycon orbignyanus</t>
  </si>
  <si>
    <t>Platys</t>
  </si>
  <si>
    <t>Xiphophorus maculatus</t>
  </si>
  <si>
    <t>Poecilia</t>
  </si>
  <si>
    <t>Poecilia sp.</t>
  </si>
  <si>
    <t>Poraquê</t>
  </si>
  <si>
    <t>Electrophorus electricus</t>
  </si>
  <si>
    <t>Gymnotidae</t>
  </si>
  <si>
    <t>Tambacu</t>
  </si>
  <si>
    <t>Piaractus brachypomus</t>
  </si>
  <si>
    <t>Tambaqui</t>
  </si>
  <si>
    <t>Colossoma macropomum</t>
  </si>
  <si>
    <t>Tetra de castanho</t>
  </si>
  <si>
    <t>Hyphessobrycon heterorhabdus</t>
  </si>
  <si>
    <t>Tetra Olho de Fogo</t>
  </si>
  <si>
    <t>Moenkhausia sanctaefilomenae</t>
  </si>
  <si>
    <t>Tilápia</t>
  </si>
  <si>
    <t>Oreochromis niloticus</t>
  </si>
  <si>
    <t>Traíra</t>
  </si>
  <si>
    <t>Hoplias sp.</t>
  </si>
  <si>
    <t>Tucunaré</t>
  </si>
  <si>
    <t>Cichla temensis</t>
  </si>
  <si>
    <t>RÉPTEIS</t>
  </si>
  <si>
    <t>Cágado comum</t>
  </si>
  <si>
    <t>Mauremys leprosa</t>
  </si>
  <si>
    <t>Testudines</t>
  </si>
  <si>
    <t>Cágado de barbicha</t>
  </si>
  <si>
    <t>Phrynops geoffroanus</t>
  </si>
  <si>
    <t>Calango</t>
  </si>
  <si>
    <t>Cnemidophorus ocellifer</t>
  </si>
  <si>
    <t>Squamata</t>
  </si>
  <si>
    <t>Cascavel</t>
  </si>
  <si>
    <t>Crotalus durissus</t>
  </si>
  <si>
    <t>Cobra cega (Cecília)</t>
  </si>
  <si>
    <t>Gymnophiona</t>
  </si>
  <si>
    <t>Cobra cipó</t>
  </si>
  <si>
    <t>Chironius bicarinatus</t>
  </si>
  <si>
    <t>Cobra Coral Falsa</t>
  </si>
  <si>
    <t>Anilis scytale</t>
  </si>
  <si>
    <t>Oxyrhopus guibei</t>
  </si>
  <si>
    <t>Erythrolamprus aesculapii</t>
  </si>
  <si>
    <t>Cobra Coral verdadeira</t>
  </si>
  <si>
    <t>Micrurus lemniscatus</t>
  </si>
  <si>
    <t>Cobra corre campo</t>
  </si>
  <si>
    <t>Thamnodynastes pallidus</t>
  </si>
  <si>
    <t>Cobra d'água</t>
  </si>
  <si>
    <t>Liophis typhlus</t>
  </si>
  <si>
    <t>Cobra dormideira</t>
  </si>
  <si>
    <t>Sibynomorphus mikanii</t>
  </si>
  <si>
    <t>Cobra duas cabeças</t>
  </si>
  <si>
    <t>Amphisbaenia</t>
  </si>
  <si>
    <t>Cobra papagaio (exótica)</t>
  </si>
  <si>
    <t>Corallus caninus</t>
  </si>
  <si>
    <t>Exótica</t>
  </si>
  <si>
    <t>Cobra verde</t>
  </si>
  <si>
    <t>Corn snake (exótica)</t>
  </si>
  <si>
    <t>Pantherophis guttatus</t>
  </si>
  <si>
    <t>Geco leopardo (exótico)</t>
  </si>
  <si>
    <t>Eublepharis macularius</t>
  </si>
  <si>
    <t>Iguana</t>
  </si>
  <si>
    <t>Iguana iguana</t>
  </si>
  <si>
    <t>Jabuti</t>
  </si>
  <si>
    <t>Chelonoidis carbonaria</t>
  </si>
  <si>
    <t>Jacaré acu</t>
  </si>
  <si>
    <t>Melanosuchus niger</t>
  </si>
  <si>
    <t>Crocodylia</t>
  </si>
  <si>
    <t>Jacaré do papo amarelo</t>
  </si>
  <si>
    <t>Caiman latirostris</t>
  </si>
  <si>
    <t>Jacarétinga</t>
  </si>
  <si>
    <t>Caiman crocodilus</t>
  </si>
  <si>
    <t>Jararaca cruzeira</t>
  </si>
  <si>
    <t>Bothrops neuwiedi</t>
  </si>
  <si>
    <t>Jararaca verdadeira</t>
  </si>
  <si>
    <t>Bothrops jararaca</t>
  </si>
  <si>
    <t>Jararacucu</t>
  </si>
  <si>
    <t>Bothrops jararacussu</t>
  </si>
  <si>
    <t>Jiboia</t>
  </si>
  <si>
    <t>Boa constrictor</t>
  </si>
  <si>
    <t>Jiboia arco-íris</t>
  </si>
  <si>
    <t>Epicrates cenchria cenchria</t>
  </si>
  <si>
    <t>King snake nigritos (exótica)</t>
  </si>
  <si>
    <t>Lampropeltis getula nigritus</t>
  </si>
  <si>
    <t>Minhocucu</t>
  </si>
  <si>
    <t>Rhinodrilus alatus</t>
  </si>
  <si>
    <t>Opisthopora</t>
  </si>
  <si>
    <t>Dados Insuficientes</t>
  </si>
  <si>
    <t>Mucurana</t>
  </si>
  <si>
    <t>Pseudoboa clelia</t>
  </si>
  <si>
    <t>Naja (exótica)</t>
  </si>
  <si>
    <t>Naja Kaouthia</t>
  </si>
  <si>
    <t>Periquitamboia</t>
  </si>
  <si>
    <t>Corallus batesii</t>
  </si>
  <si>
    <t>Python (exótica)</t>
  </si>
  <si>
    <t>Python modulus</t>
  </si>
  <si>
    <t>Serpente boa imperator (exótica)</t>
  </si>
  <si>
    <t>Boa constrictor imperator</t>
  </si>
  <si>
    <t>Serpente boipeba</t>
  </si>
  <si>
    <t>Xenodon merremii</t>
  </si>
  <si>
    <t>Serpente caninana</t>
  </si>
  <si>
    <t>Spilotes pullatus</t>
  </si>
  <si>
    <t>Tartaruga</t>
  </si>
  <si>
    <t>Caretta caretta</t>
  </si>
  <si>
    <t>Tartaruga tigre d'água</t>
  </si>
  <si>
    <t>Trachemys dorbigni</t>
  </si>
  <si>
    <t>Teiú</t>
  </si>
  <si>
    <t>Tupinambis merianae</t>
  </si>
  <si>
    <t>GQXEN-JS8SQ-5MALT-ALXFG-MDJF</t>
  </si>
  <si>
    <t>AVE0001</t>
  </si>
  <si>
    <t>Piaya cayana</t>
  </si>
  <si>
    <t xml:space="preserve"> - </t>
  </si>
  <si>
    <t>AVE0002</t>
  </si>
  <si>
    <t>AVE0003</t>
  </si>
  <si>
    <t>AVE0004</t>
  </si>
  <si>
    <t>AVE0005</t>
  </si>
  <si>
    <t>AVE0006</t>
  </si>
  <si>
    <t>AVE0007</t>
  </si>
  <si>
    <t>AVE0008</t>
  </si>
  <si>
    <t>AVE0009</t>
  </si>
  <si>
    <t>AVE0010</t>
  </si>
  <si>
    <t>AVE0011</t>
  </si>
  <si>
    <t>AVE0012</t>
  </si>
  <si>
    <t>AVE0013</t>
  </si>
  <si>
    <t>AVE0014</t>
  </si>
  <si>
    <t>AVE0015</t>
  </si>
  <si>
    <t>AVE0016</t>
  </si>
  <si>
    <t>AVE0017</t>
  </si>
  <si>
    <t>AVE0018</t>
  </si>
  <si>
    <t>AVE0019</t>
  </si>
  <si>
    <t>AVE0020</t>
  </si>
  <si>
    <t>AVE0021</t>
  </si>
  <si>
    <t>AVE0022</t>
  </si>
  <si>
    <t>AVE0023</t>
  </si>
  <si>
    <t>AVE0024</t>
  </si>
  <si>
    <t>AVE0025</t>
  </si>
  <si>
    <t>AVE0026</t>
  </si>
  <si>
    <t>AVE0027</t>
  </si>
  <si>
    <t>AVE0028</t>
  </si>
  <si>
    <t>AVE0029</t>
  </si>
  <si>
    <t>AVE0030</t>
  </si>
  <si>
    <t>AVE0031</t>
  </si>
  <si>
    <t>AVE0032</t>
  </si>
  <si>
    <t>AVE0033</t>
  </si>
  <si>
    <t>AVE0034</t>
  </si>
  <si>
    <t>AVE0035</t>
  </si>
  <si>
    <t>AVE0036</t>
  </si>
  <si>
    <t>AVE0037</t>
  </si>
  <si>
    <t>AVE0038</t>
  </si>
  <si>
    <t>AVE0039</t>
  </si>
  <si>
    <t>AVE0040</t>
  </si>
  <si>
    <t>AVE0041</t>
  </si>
  <si>
    <t>AVE0042</t>
  </si>
  <si>
    <t>AVE0043</t>
  </si>
  <si>
    <t>AVE0044</t>
  </si>
  <si>
    <t>AVE0045</t>
  </si>
  <si>
    <t>AVE0046</t>
  </si>
  <si>
    <t>AVE0047</t>
  </si>
  <si>
    <t>AVE0048</t>
  </si>
  <si>
    <t>AVE0049</t>
  </si>
  <si>
    <t>AVE0050</t>
  </si>
  <si>
    <t>AVE0051</t>
  </si>
  <si>
    <t>AVE0052</t>
  </si>
  <si>
    <t>AVE0053</t>
  </si>
  <si>
    <t>AVE0054</t>
  </si>
  <si>
    <t>AVE0055</t>
  </si>
  <si>
    <t>AVE0056</t>
  </si>
  <si>
    <t>AVE0057</t>
  </si>
  <si>
    <t>AVE0058</t>
  </si>
  <si>
    <t>AVE0059</t>
  </si>
  <si>
    <t>AVE0060</t>
  </si>
  <si>
    <t>AVE0061</t>
  </si>
  <si>
    <t>AVE0062</t>
  </si>
  <si>
    <t>AVE0063</t>
  </si>
  <si>
    <t>AVE0064</t>
  </si>
  <si>
    <t>AVE0065</t>
  </si>
  <si>
    <t>AVE0066</t>
  </si>
  <si>
    <t>AVE0067</t>
  </si>
  <si>
    <t>AVE0068</t>
  </si>
  <si>
    <t>AVE0069</t>
  </si>
  <si>
    <t>AVE0070</t>
  </si>
  <si>
    <t>AVE0071</t>
  </si>
  <si>
    <t>AVE0072</t>
  </si>
  <si>
    <t>AVE0073</t>
  </si>
  <si>
    <t>AVE0074</t>
  </si>
  <si>
    <t>AVE0075</t>
  </si>
  <si>
    <t>AVE0076</t>
  </si>
  <si>
    <t>AVE0077</t>
  </si>
  <si>
    <t>AVE0078</t>
  </si>
  <si>
    <t>AVE0079</t>
  </si>
  <si>
    <t>AVE0080</t>
  </si>
  <si>
    <t>AVE0081</t>
  </si>
  <si>
    <t>AVE0082</t>
  </si>
  <si>
    <t>AVE0083</t>
  </si>
  <si>
    <t>AVE0084</t>
  </si>
  <si>
    <t>AVE0085</t>
  </si>
  <si>
    <t>AVE0086</t>
  </si>
  <si>
    <t>AVE0087</t>
  </si>
  <si>
    <t>AVE0088</t>
  </si>
  <si>
    <t>AVE0089</t>
  </si>
  <si>
    <t>AVE0090</t>
  </si>
  <si>
    <t>AVE0091</t>
  </si>
  <si>
    <t>AVE0092</t>
  </si>
  <si>
    <t>AVE0093</t>
  </si>
  <si>
    <t>AVE0094</t>
  </si>
  <si>
    <t>AVE0095</t>
  </si>
  <si>
    <t>MAM0001</t>
  </si>
  <si>
    <t>MAM0002</t>
  </si>
  <si>
    <t>MAM0003</t>
  </si>
  <si>
    <t>MAM0004</t>
  </si>
  <si>
    <t>MAM0005</t>
  </si>
  <si>
    <t>MAM0006</t>
  </si>
  <si>
    <t>MAM0007</t>
  </si>
  <si>
    <t>MAM0008</t>
  </si>
  <si>
    <t>MAM0009</t>
  </si>
  <si>
    <t>MAM0010</t>
  </si>
  <si>
    <t>MAM0011</t>
  </si>
  <si>
    <t>MAM0012</t>
  </si>
  <si>
    <t>MAM0013</t>
  </si>
  <si>
    <t>MAM0014</t>
  </si>
  <si>
    <t>MAM0015</t>
  </si>
  <si>
    <t>MAM0016</t>
  </si>
  <si>
    <t>MAM0017</t>
  </si>
  <si>
    <t>MAM0018</t>
  </si>
  <si>
    <t>MAM0019</t>
  </si>
  <si>
    <t>MAM0020</t>
  </si>
  <si>
    <t>MAM0021</t>
  </si>
  <si>
    <t>MAM0022</t>
  </si>
  <si>
    <t>MAM0023</t>
  </si>
  <si>
    <t>MAM0024</t>
  </si>
  <si>
    <t>MAM0025</t>
  </si>
  <si>
    <t>MAM0026</t>
  </si>
  <si>
    <t>MAM0027</t>
  </si>
  <si>
    <t>MAM0028</t>
  </si>
  <si>
    <t>MAM0029</t>
  </si>
  <si>
    <t>MAM0030</t>
  </si>
  <si>
    <t>MAM0031</t>
  </si>
  <si>
    <t>MAM0032</t>
  </si>
  <si>
    <t>MAM0033</t>
  </si>
  <si>
    <t>MAM0034</t>
  </si>
  <si>
    <t>MAM0035</t>
  </si>
  <si>
    <t>MAM0036</t>
  </si>
  <si>
    <t>MAM0037</t>
  </si>
  <si>
    <t>MAM0038</t>
  </si>
  <si>
    <t>MAM0039</t>
  </si>
  <si>
    <t>MAM0040</t>
  </si>
  <si>
    <t>MAM0041</t>
  </si>
  <si>
    <t>MAM0042</t>
  </si>
  <si>
    <t>MAM0043</t>
  </si>
  <si>
    <t>PEI0001</t>
  </si>
  <si>
    <t>PEI0002</t>
  </si>
  <si>
    <t>PEI0003</t>
  </si>
  <si>
    <t>PEI0004</t>
  </si>
  <si>
    <t>PEI0005</t>
  </si>
  <si>
    <t>PEI0006</t>
  </si>
  <si>
    <t>PEI0007</t>
  </si>
  <si>
    <t>PEI0008</t>
  </si>
  <si>
    <t>PEI0009</t>
  </si>
  <si>
    <t>PEI0010</t>
  </si>
  <si>
    <t>PEI0011</t>
  </si>
  <si>
    <t>PEI0012</t>
  </si>
  <si>
    <t>PEI0013</t>
  </si>
  <si>
    <t>PEI0014</t>
  </si>
  <si>
    <t>PEI0015</t>
  </si>
  <si>
    <t>PEI0016</t>
  </si>
  <si>
    <t>PEI0017</t>
  </si>
  <si>
    <t>PEI0018</t>
  </si>
  <si>
    <t>PEI0019</t>
  </si>
  <si>
    <t>PEI0020</t>
  </si>
  <si>
    <t>PEI0021</t>
  </si>
  <si>
    <t>PEI0022</t>
  </si>
  <si>
    <t>PEI0023</t>
  </si>
  <si>
    <t>PEI0024</t>
  </si>
  <si>
    <t>PEI0025</t>
  </si>
  <si>
    <t>PEI0026</t>
  </si>
  <si>
    <t>PEI0027</t>
  </si>
  <si>
    <t>PEI0028</t>
  </si>
  <si>
    <t>PEI0029</t>
  </si>
  <si>
    <t>PEI0030</t>
  </si>
  <si>
    <t>PEI0031</t>
  </si>
  <si>
    <t>PEI0032</t>
  </si>
  <si>
    <t>PEI0033</t>
  </si>
  <si>
    <t>PEI0034</t>
  </si>
  <si>
    <t>PEI0035</t>
  </si>
  <si>
    <t>PEI0036</t>
  </si>
  <si>
    <t>PEI0037</t>
  </si>
  <si>
    <t>PEI0038</t>
  </si>
  <si>
    <t>PEI0039</t>
  </si>
  <si>
    <t>PEI0040</t>
  </si>
  <si>
    <t>PEI0041</t>
  </si>
  <si>
    <t>PEI0042</t>
  </si>
  <si>
    <t>PEI0043</t>
  </si>
  <si>
    <t>PEI0044</t>
  </si>
  <si>
    <t>PEI0045</t>
  </si>
  <si>
    <t>PEI0046</t>
  </si>
  <si>
    <t>PEI0047</t>
  </si>
  <si>
    <t>PEI0048</t>
  </si>
  <si>
    <t>REP0001</t>
  </si>
  <si>
    <t>REP0002</t>
  </si>
  <si>
    <t>REP0003</t>
  </si>
  <si>
    <t>REP0004</t>
  </si>
  <si>
    <t>REP0005</t>
  </si>
  <si>
    <t>REP0006</t>
  </si>
  <si>
    <t>REP0007</t>
  </si>
  <si>
    <t>REP0008</t>
  </si>
  <si>
    <t>REP0009</t>
  </si>
  <si>
    <t>REP0010</t>
  </si>
  <si>
    <t>REP0011</t>
  </si>
  <si>
    <t>REP0012</t>
  </si>
  <si>
    <t>REP0013</t>
  </si>
  <si>
    <t>REP0014</t>
  </si>
  <si>
    <t>REP0015</t>
  </si>
  <si>
    <t>REP0016</t>
  </si>
  <si>
    <t>REP0017</t>
  </si>
  <si>
    <t>REP0018</t>
  </si>
  <si>
    <t>REP0019</t>
  </si>
  <si>
    <t>REP0020</t>
  </si>
  <si>
    <t>REP0021</t>
  </si>
  <si>
    <t>REP0022</t>
  </si>
  <si>
    <t>REP0023</t>
  </si>
  <si>
    <t>REP0024</t>
  </si>
  <si>
    <t>REP0025</t>
  </si>
  <si>
    <t>REP0026</t>
  </si>
  <si>
    <t>REP0027</t>
  </si>
  <si>
    <t>REP0028</t>
  </si>
  <si>
    <t>REP0029</t>
  </si>
  <si>
    <t>REP0030</t>
  </si>
  <si>
    <t>REP0031</t>
  </si>
  <si>
    <t>REP0032</t>
  </si>
  <si>
    <t>REP0033</t>
  </si>
  <si>
    <t>REP0034</t>
  </si>
  <si>
    <t>REP0035</t>
  </si>
  <si>
    <t>REP0036</t>
  </si>
  <si>
    <t>REP0037</t>
  </si>
  <si>
    <t>REP0038</t>
  </si>
  <si>
    <t>REP0039</t>
  </si>
  <si>
    <t>REP0040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</si>
</sst>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color rgb="FF333333"/>
      <name val="Arial"/>
    </font>
    <font>
      <b/>
      <i/>
      <sz val="10"/>
      <color theme="1"/>
      <name val="Arial"/>
      <scheme val="minor"/>
    </font>
    <font>
      <i/>
      <sz val="10"/>
      <color theme="1"/>
      <name val="Arial"/>
      <scheme val="minor"/>
    </font>
    <font>
      <i/>
      <sz val="10"/>
      <color rgb="FF1F1F1F"/>
      <name val="&quot;Google Sans Mono&quot;"/>
    </font>
    <font>
      <i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/>
    <xf numFmtId="0" fontId="8" fillId="3" borderId="0" xfId="0" applyFont="1" applyFill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7"/>
  <sheetViews>
    <sheetView tabSelected="1" workbookViewId="0">
      <pane ySplit="1" topLeftCell="A2" activePane="bottomLeft" state="frozen"/>
      <selection pane="bottomLeft" activeCell="H12" sqref="H12"/>
    </sheetView>
  </sheetViews>
  <sheetFormatPr defaultColWidth="12.5703125" defaultRowHeight="15.75" customHeight="1"/>
  <cols>
    <col min="1" max="1" width="14.42578125" customWidth="1"/>
    <col min="2" max="2" width="24" customWidth="1"/>
    <col min="3" max="3" width="30" customWidth="1"/>
    <col min="4" max="4" width="21.42578125" customWidth="1"/>
    <col min="5" max="6" width="19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6</v>
      </c>
      <c r="B3" s="3" t="s">
        <v>12</v>
      </c>
      <c r="C3" s="2" t="s">
        <v>13</v>
      </c>
      <c r="D3" s="2" t="s">
        <v>14</v>
      </c>
      <c r="E3" s="2" t="s">
        <v>10</v>
      </c>
      <c r="F3" s="2" t="s">
        <v>11</v>
      </c>
    </row>
    <row r="4" spans="1:6">
      <c r="A4" s="2" t="s">
        <v>6</v>
      </c>
      <c r="B4" s="3" t="s">
        <v>15</v>
      </c>
      <c r="C4" s="2" t="s">
        <v>16</v>
      </c>
      <c r="D4" s="2" t="s">
        <v>9</v>
      </c>
      <c r="E4" s="2" t="s">
        <v>10</v>
      </c>
      <c r="F4" s="2" t="s">
        <v>11</v>
      </c>
    </row>
    <row r="5" spans="1:6">
      <c r="A5" s="2" t="s">
        <v>6</v>
      </c>
      <c r="B5" s="3" t="s">
        <v>17</v>
      </c>
      <c r="C5" s="2" t="s">
        <v>18</v>
      </c>
      <c r="D5" s="2" t="s">
        <v>9</v>
      </c>
      <c r="E5" s="2" t="s">
        <v>10</v>
      </c>
      <c r="F5" s="2" t="s">
        <v>11</v>
      </c>
    </row>
    <row r="6" spans="1:6">
      <c r="A6" s="2" t="s">
        <v>6</v>
      </c>
      <c r="B6" s="3" t="s">
        <v>19</v>
      </c>
      <c r="C6" s="2" t="s">
        <v>20</v>
      </c>
      <c r="D6" s="2" t="s">
        <v>21</v>
      </c>
      <c r="E6" s="2" t="s">
        <v>10</v>
      </c>
      <c r="F6" s="2" t="s">
        <v>11</v>
      </c>
    </row>
    <row r="7" spans="1:6">
      <c r="A7" s="2" t="s">
        <v>6</v>
      </c>
      <c r="B7" s="3" t="s">
        <v>22</v>
      </c>
      <c r="C7" s="2" t="s">
        <v>23</v>
      </c>
      <c r="D7" s="2" t="s">
        <v>24</v>
      </c>
      <c r="E7" s="2" t="s">
        <v>25</v>
      </c>
      <c r="F7" s="2" t="s">
        <v>11</v>
      </c>
    </row>
    <row r="8" spans="1:6">
      <c r="A8" s="2" t="s">
        <v>6</v>
      </c>
      <c r="B8" s="3" t="s">
        <v>26</v>
      </c>
      <c r="C8" s="2" t="s">
        <v>27</v>
      </c>
      <c r="D8" s="2" t="s">
        <v>24</v>
      </c>
      <c r="E8" s="2" t="s">
        <v>25</v>
      </c>
      <c r="F8" s="2" t="s">
        <v>11</v>
      </c>
    </row>
    <row r="9" spans="1:6">
      <c r="A9" s="2" t="s">
        <v>6</v>
      </c>
      <c r="B9" s="3" t="s">
        <v>28</v>
      </c>
      <c r="C9" s="2" t="s">
        <v>29</v>
      </c>
      <c r="D9" s="2" t="s">
        <v>14</v>
      </c>
      <c r="E9" s="2" t="s">
        <v>10</v>
      </c>
      <c r="F9" s="2" t="s">
        <v>11</v>
      </c>
    </row>
    <row r="10" spans="1:6">
      <c r="A10" s="2" t="s">
        <v>6</v>
      </c>
      <c r="B10" s="3" t="s">
        <v>30</v>
      </c>
      <c r="C10" s="2" t="s">
        <v>31</v>
      </c>
      <c r="D10" s="2" t="s">
        <v>32</v>
      </c>
      <c r="E10" s="2" t="s">
        <v>10</v>
      </c>
      <c r="F10" s="2" t="s">
        <v>11</v>
      </c>
    </row>
    <row r="11" spans="1:6">
      <c r="A11" s="2" t="s">
        <v>6</v>
      </c>
      <c r="B11" s="3" t="s">
        <v>33</v>
      </c>
      <c r="C11" s="2" t="s">
        <v>34</v>
      </c>
      <c r="D11" s="2" t="s">
        <v>14</v>
      </c>
      <c r="E11" s="2" t="s">
        <v>10</v>
      </c>
      <c r="F11" s="2" t="s">
        <v>11</v>
      </c>
    </row>
    <row r="12" spans="1:6">
      <c r="A12" s="2" t="s">
        <v>6</v>
      </c>
      <c r="B12" s="3" t="s">
        <v>35</v>
      </c>
      <c r="C12" s="2" t="s">
        <v>36</v>
      </c>
      <c r="D12" s="2" t="s">
        <v>37</v>
      </c>
      <c r="E12" s="2" t="s">
        <v>10</v>
      </c>
      <c r="F12" s="2" t="s">
        <v>11</v>
      </c>
    </row>
    <row r="13" spans="1:6">
      <c r="A13" s="2" t="s">
        <v>6</v>
      </c>
      <c r="B13" s="3" t="s">
        <v>38</v>
      </c>
      <c r="C13" s="2" t="s">
        <v>39</v>
      </c>
      <c r="D13" s="2" t="s">
        <v>14</v>
      </c>
      <c r="E13" s="2" t="s">
        <v>10</v>
      </c>
      <c r="F13" s="2" t="s">
        <v>11</v>
      </c>
    </row>
    <row r="14" spans="1:6">
      <c r="A14" s="2" t="s">
        <v>6</v>
      </c>
      <c r="B14" s="3" t="s">
        <v>40</v>
      </c>
      <c r="C14" s="2" t="s">
        <v>41</v>
      </c>
      <c r="D14" s="2" t="s">
        <v>14</v>
      </c>
      <c r="E14" s="2" t="s">
        <v>10</v>
      </c>
      <c r="F14" s="2" t="s">
        <v>42</v>
      </c>
    </row>
    <row r="15" spans="1:6">
      <c r="A15" s="2" t="s">
        <v>6</v>
      </c>
      <c r="B15" s="3" t="s">
        <v>43</v>
      </c>
      <c r="C15" s="2" t="s">
        <v>44</v>
      </c>
      <c r="D15" s="2" t="s">
        <v>14</v>
      </c>
      <c r="E15" s="2" t="s">
        <v>10</v>
      </c>
      <c r="F15" s="2" t="s">
        <v>11</v>
      </c>
    </row>
    <row r="16" spans="1:6">
      <c r="A16" s="2" t="s">
        <v>6</v>
      </c>
      <c r="B16" s="3" t="s">
        <v>45</v>
      </c>
      <c r="C16" s="2" t="s">
        <v>46</v>
      </c>
      <c r="D16" s="2" t="s">
        <v>14</v>
      </c>
      <c r="E16" s="2" t="s">
        <v>10</v>
      </c>
      <c r="F16" s="2" t="s">
        <v>11</v>
      </c>
    </row>
    <row r="17" spans="1:6">
      <c r="A17" s="2" t="s">
        <v>6</v>
      </c>
      <c r="B17" s="3" t="s">
        <v>47</v>
      </c>
      <c r="C17" s="2" t="s">
        <v>48</v>
      </c>
      <c r="D17" s="2" t="s">
        <v>14</v>
      </c>
      <c r="E17" s="2" t="s">
        <v>10</v>
      </c>
      <c r="F17" s="2" t="s">
        <v>11</v>
      </c>
    </row>
    <row r="18" spans="1:6">
      <c r="A18" s="2" t="s">
        <v>6</v>
      </c>
      <c r="B18" s="3" t="s">
        <v>49</v>
      </c>
      <c r="C18" s="2" t="s">
        <v>50</v>
      </c>
      <c r="D18" s="2" t="s">
        <v>51</v>
      </c>
      <c r="E18" s="2" t="s">
        <v>10</v>
      </c>
      <c r="F18" s="2" t="s">
        <v>11</v>
      </c>
    </row>
    <row r="19" spans="1:6">
      <c r="A19" s="2" t="s">
        <v>6</v>
      </c>
      <c r="B19" s="3" t="s">
        <v>52</v>
      </c>
      <c r="C19" s="2" t="s">
        <v>53</v>
      </c>
      <c r="D19" s="2" t="s">
        <v>51</v>
      </c>
      <c r="E19" s="2" t="s">
        <v>10</v>
      </c>
      <c r="F19" s="2" t="s">
        <v>11</v>
      </c>
    </row>
    <row r="20" spans="1:6">
      <c r="A20" s="2" t="s">
        <v>6</v>
      </c>
      <c r="B20" s="3" t="s">
        <v>54</v>
      </c>
      <c r="C20" s="2" t="s">
        <v>55</v>
      </c>
      <c r="D20" s="2" t="s">
        <v>14</v>
      </c>
      <c r="E20" s="2" t="s">
        <v>10</v>
      </c>
      <c r="F20" s="2" t="s">
        <v>11</v>
      </c>
    </row>
    <row r="21" spans="1:6">
      <c r="A21" s="2" t="s">
        <v>6</v>
      </c>
      <c r="B21" s="3" t="s">
        <v>56</v>
      </c>
      <c r="C21" s="2" t="s">
        <v>57</v>
      </c>
      <c r="D21" s="2" t="s">
        <v>14</v>
      </c>
      <c r="E21" s="2" t="s">
        <v>10</v>
      </c>
      <c r="F21" s="2" t="s">
        <v>42</v>
      </c>
    </row>
    <row r="22" spans="1:6">
      <c r="A22" s="2" t="s">
        <v>6</v>
      </c>
      <c r="B22" s="3" t="s">
        <v>58</v>
      </c>
      <c r="C22" s="2" t="s">
        <v>59</v>
      </c>
      <c r="D22" s="2" t="s">
        <v>14</v>
      </c>
      <c r="E22" s="2" t="s">
        <v>10</v>
      </c>
      <c r="F22" s="2" t="s">
        <v>11</v>
      </c>
    </row>
    <row r="23" spans="1:6">
      <c r="A23" s="2" t="s">
        <v>6</v>
      </c>
      <c r="B23" s="3" t="s">
        <v>60</v>
      </c>
      <c r="C23" s="2" t="s">
        <v>61</v>
      </c>
      <c r="D23" s="2" t="s">
        <v>62</v>
      </c>
      <c r="E23" s="2" t="s">
        <v>10</v>
      </c>
      <c r="F23" s="2" t="s">
        <v>11</v>
      </c>
    </row>
    <row r="24" spans="1:6">
      <c r="A24" s="2" t="s">
        <v>6</v>
      </c>
      <c r="B24" s="3" t="s">
        <v>63</v>
      </c>
      <c r="C24" s="2" t="s">
        <v>64</v>
      </c>
      <c r="D24" s="2" t="s">
        <v>14</v>
      </c>
      <c r="E24" s="2" t="s">
        <v>10</v>
      </c>
      <c r="F24" s="2" t="s">
        <v>11</v>
      </c>
    </row>
    <row r="25" spans="1:6">
      <c r="A25" s="2" t="s">
        <v>6</v>
      </c>
      <c r="B25" s="3" t="s">
        <v>65</v>
      </c>
      <c r="C25" s="2" t="s">
        <v>66</v>
      </c>
      <c r="D25" s="2" t="s">
        <v>14</v>
      </c>
      <c r="E25" s="2" t="s">
        <v>10</v>
      </c>
      <c r="F25" s="2" t="s">
        <v>11</v>
      </c>
    </row>
    <row r="26" spans="1:6">
      <c r="A26" s="2" t="s">
        <v>6</v>
      </c>
      <c r="B26" s="3" t="s">
        <v>67</v>
      </c>
      <c r="C26" s="2" t="s">
        <v>68</v>
      </c>
      <c r="D26" s="2" t="s">
        <v>14</v>
      </c>
      <c r="E26" s="2" t="s">
        <v>10</v>
      </c>
      <c r="F26" s="2" t="s">
        <v>11</v>
      </c>
    </row>
    <row r="27" spans="1:6">
      <c r="A27" s="2" t="s">
        <v>6</v>
      </c>
      <c r="B27" s="3" t="s">
        <v>69</v>
      </c>
      <c r="C27" s="2" t="s">
        <v>70</v>
      </c>
      <c r="D27" s="2" t="s">
        <v>14</v>
      </c>
      <c r="E27" s="2" t="s">
        <v>10</v>
      </c>
      <c r="F27" s="2" t="s">
        <v>11</v>
      </c>
    </row>
    <row r="28" spans="1:6">
      <c r="A28" s="2" t="s">
        <v>6</v>
      </c>
      <c r="B28" s="3" t="s">
        <v>71</v>
      </c>
      <c r="C28" s="2" t="s">
        <v>72</v>
      </c>
      <c r="D28" s="2" t="s">
        <v>14</v>
      </c>
      <c r="E28" s="2" t="s">
        <v>10</v>
      </c>
      <c r="F28" s="2" t="s">
        <v>11</v>
      </c>
    </row>
    <row r="29" spans="1:6">
      <c r="A29" s="2" t="s">
        <v>6</v>
      </c>
      <c r="B29" s="3" t="s">
        <v>73</v>
      </c>
      <c r="C29" s="2" t="s">
        <v>74</v>
      </c>
      <c r="D29" s="2" t="s">
        <v>75</v>
      </c>
      <c r="E29" s="2" t="s">
        <v>10</v>
      </c>
      <c r="F29" s="2" t="s">
        <v>11</v>
      </c>
    </row>
    <row r="30" spans="1:6">
      <c r="A30" s="2" t="s">
        <v>6</v>
      </c>
      <c r="B30" s="3" t="s">
        <v>76</v>
      </c>
      <c r="C30" s="2" t="s">
        <v>77</v>
      </c>
      <c r="D30" s="2" t="s">
        <v>75</v>
      </c>
      <c r="E30" s="2" t="s">
        <v>10</v>
      </c>
      <c r="F30" s="2" t="s">
        <v>11</v>
      </c>
    </row>
    <row r="31" spans="1:6">
      <c r="A31" s="2" t="s">
        <v>6</v>
      </c>
      <c r="B31" s="3" t="s">
        <v>78</v>
      </c>
      <c r="C31" s="2" t="s">
        <v>79</v>
      </c>
      <c r="D31" s="2" t="s">
        <v>75</v>
      </c>
      <c r="E31" s="2" t="s">
        <v>10</v>
      </c>
      <c r="F31" s="2" t="s">
        <v>11</v>
      </c>
    </row>
    <row r="32" spans="1:6">
      <c r="A32" s="2" t="s">
        <v>6</v>
      </c>
      <c r="B32" s="3" t="s">
        <v>80</v>
      </c>
      <c r="C32" s="2" t="s">
        <v>81</v>
      </c>
      <c r="D32" s="2" t="s">
        <v>75</v>
      </c>
      <c r="E32" s="2" t="s">
        <v>10</v>
      </c>
      <c r="F32" s="2" t="s">
        <v>11</v>
      </c>
    </row>
    <row r="33" spans="1:6">
      <c r="A33" s="2" t="s">
        <v>6</v>
      </c>
      <c r="B33" s="3" t="s">
        <v>82</v>
      </c>
      <c r="C33" s="2" t="s">
        <v>83</v>
      </c>
      <c r="D33" s="2" t="s">
        <v>75</v>
      </c>
      <c r="E33" s="2" t="s">
        <v>10</v>
      </c>
      <c r="F33" s="2" t="s">
        <v>11</v>
      </c>
    </row>
    <row r="34" spans="1:6">
      <c r="A34" s="2" t="s">
        <v>6</v>
      </c>
      <c r="B34" s="3" t="s">
        <v>84</v>
      </c>
      <c r="C34" s="2" t="s">
        <v>85</v>
      </c>
      <c r="D34" s="2" t="s">
        <v>75</v>
      </c>
      <c r="E34" s="2" t="s">
        <v>10</v>
      </c>
      <c r="F34" s="2" t="s">
        <v>11</v>
      </c>
    </row>
    <row r="35" spans="1:6">
      <c r="A35" s="2" t="s">
        <v>6</v>
      </c>
      <c r="B35" s="3" t="s">
        <v>86</v>
      </c>
      <c r="C35" s="2" t="s">
        <v>31</v>
      </c>
      <c r="D35" s="2" t="s">
        <v>32</v>
      </c>
      <c r="E35" s="2" t="s">
        <v>10</v>
      </c>
      <c r="F35" s="2" t="s">
        <v>11</v>
      </c>
    </row>
    <row r="36" spans="1:6">
      <c r="A36" s="2" t="s">
        <v>6</v>
      </c>
      <c r="B36" s="3" t="s">
        <v>87</v>
      </c>
      <c r="C36" s="2" t="s">
        <v>88</v>
      </c>
      <c r="D36" s="2" t="s">
        <v>89</v>
      </c>
      <c r="E36" s="2" t="s">
        <v>10</v>
      </c>
      <c r="F36" s="2" t="s">
        <v>11</v>
      </c>
    </row>
    <row r="37" spans="1:6">
      <c r="A37" s="2" t="s">
        <v>6</v>
      </c>
      <c r="B37" s="3" t="s">
        <v>90</v>
      </c>
      <c r="C37" s="2" t="s">
        <v>91</v>
      </c>
      <c r="D37" s="2" t="s">
        <v>14</v>
      </c>
      <c r="E37" s="2" t="s">
        <v>10</v>
      </c>
      <c r="F37" s="2" t="s">
        <v>11</v>
      </c>
    </row>
    <row r="38" spans="1:6">
      <c r="A38" s="2" t="s">
        <v>6</v>
      </c>
      <c r="B38" s="3" t="s">
        <v>92</v>
      </c>
      <c r="C38" s="2" t="s">
        <v>93</v>
      </c>
      <c r="D38" s="2" t="s">
        <v>94</v>
      </c>
      <c r="E38" s="2" t="s">
        <v>10</v>
      </c>
      <c r="F38" s="2" t="s">
        <v>11</v>
      </c>
    </row>
    <row r="39" spans="1:6">
      <c r="A39" s="2" t="s">
        <v>6</v>
      </c>
      <c r="B39" s="3" t="s">
        <v>95</v>
      </c>
      <c r="C39" s="2" t="s">
        <v>96</v>
      </c>
      <c r="D39" s="2" t="s">
        <v>89</v>
      </c>
      <c r="E39" s="2" t="s">
        <v>10</v>
      </c>
      <c r="F39" s="2" t="s">
        <v>11</v>
      </c>
    </row>
    <row r="40" spans="1:6">
      <c r="A40" s="2" t="s">
        <v>6</v>
      </c>
      <c r="B40" s="3" t="s">
        <v>97</v>
      </c>
      <c r="C40" s="2" t="s">
        <v>98</v>
      </c>
      <c r="D40" s="2" t="s">
        <v>99</v>
      </c>
      <c r="E40" s="2" t="s">
        <v>10</v>
      </c>
      <c r="F40" s="2" t="s">
        <v>11</v>
      </c>
    </row>
    <row r="41" spans="1:6">
      <c r="A41" s="2" t="s">
        <v>6</v>
      </c>
      <c r="B41" s="3" t="s">
        <v>100</v>
      </c>
      <c r="C41" s="2" t="s">
        <v>101</v>
      </c>
      <c r="D41" s="2" t="s">
        <v>14</v>
      </c>
      <c r="E41" s="2" t="s">
        <v>10</v>
      </c>
      <c r="F41" s="2" t="s">
        <v>11</v>
      </c>
    </row>
    <row r="42" spans="1:6">
      <c r="A42" s="2" t="s">
        <v>6</v>
      </c>
      <c r="B42" s="3" t="s">
        <v>102</v>
      </c>
      <c r="C42" s="2" t="s">
        <v>103</v>
      </c>
      <c r="D42" s="2" t="s">
        <v>62</v>
      </c>
      <c r="E42" s="2" t="s">
        <v>10</v>
      </c>
      <c r="F42" s="2" t="s">
        <v>11</v>
      </c>
    </row>
    <row r="43" spans="1:6">
      <c r="A43" s="2" t="s">
        <v>6</v>
      </c>
      <c r="B43" s="3" t="s">
        <v>104</v>
      </c>
      <c r="C43" s="2" t="s">
        <v>105</v>
      </c>
      <c r="D43" s="2" t="s">
        <v>62</v>
      </c>
      <c r="E43" s="2" t="s">
        <v>10</v>
      </c>
      <c r="F43" s="2" t="s">
        <v>11</v>
      </c>
    </row>
    <row r="44" spans="1:6">
      <c r="A44" s="2" t="s">
        <v>6</v>
      </c>
      <c r="B44" s="3" t="s">
        <v>106</v>
      </c>
      <c r="C44" s="2" t="s">
        <v>107</v>
      </c>
      <c r="D44" s="2" t="s">
        <v>14</v>
      </c>
      <c r="E44" s="2" t="s">
        <v>10</v>
      </c>
      <c r="F44" s="2" t="s">
        <v>11</v>
      </c>
    </row>
    <row r="45" spans="1:6">
      <c r="A45" s="2" t="s">
        <v>6</v>
      </c>
      <c r="B45" s="3" t="s">
        <v>108</v>
      </c>
      <c r="C45" s="2" t="s">
        <v>109</v>
      </c>
      <c r="D45" s="2" t="s">
        <v>14</v>
      </c>
      <c r="E45" s="2" t="s">
        <v>10</v>
      </c>
      <c r="F45" s="2" t="s">
        <v>11</v>
      </c>
    </row>
    <row r="46" spans="1:6">
      <c r="A46" s="2" t="s">
        <v>6</v>
      </c>
      <c r="B46" s="3" t="s">
        <v>110</v>
      </c>
      <c r="C46" s="2" t="s">
        <v>111</v>
      </c>
      <c r="D46" s="2" t="s">
        <v>99</v>
      </c>
      <c r="E46" s="2" t="s">
        <v>10</v>
      </c>
      <c r="F46" s="2" t="s">
        <v>11</v>
      </c>
    </row>
    <row r="47" spans="1:6">
      <c r="A47" s="2" t="s">
        <v>6</v>
      </c>
      <c r="B47" s="3" t="s">
        <v>112</v>
      </c>
      <c r="C47" s="2" t="s">
        <v>113</v>
      </c>
      <c r="D47" s="2" t="s">
        <v>114</v>
      </c>
      <c r="E47" s="2" t="s">
        <v>10</v>
      </c>
      <c r="F47" s="2" t="s">
        <v>11</v>
      </c>
    </row>
    <row r="48" spans="1:6">
      <c r="A48" s="2" t="s">
        <v>6</v>
      </c>
      <c r="B48" s="3" t="s">
        <v>115</v>
      </c>
      <c r="C48" s="2" t="s">
        <v>116</v>
      </c>
      <c r="D48" s="2" t="s">
        <v>24</v>
      </c>
      <c r="E48" s="2" t="s">
        <v>10</v>
      </c>
      <c r="F48" s="2" t="s">
        <v>11</v>
      </c>
    </row>
    <row r="49" spans="1:6">
      <c r="A49" s="2" t="s">
        <v>6</v>
      </c>
      <c r="B49" s="3" t="s">
        <v>117</v>
      </c>
      <c r="C49" s="2" t="s">
        <v>118</v>
      </c>
      <c r="D49" s="2" t="s">
        <v>14</v>
      </c>
      <c r="E49" s="2" t="s">
        <v>10</v>
      </c>
      <c r="F49" s="2" t="s">
        <v>11</v>
      </c>
    </row>
    <row r="50" spans="1:6">
      <c r="A50" s="2" t="s">
        <v>6</v>
      </c>
      <c r="B50" s="3" t="s">
        <v>119</v>
      </c>
      <c r="C50" s="2" t="s">
        <v>120</v>
      </c>
      <c r="D50" s="2" t="s">
        <v>14</v>
      </c>
      <c r="E50" s="2" t="s">
        <v>10</v>
      </c>
      <c r="F50" s="2" t="s">
        <v>11</v>
      </c>
    </row>
    <row r="51" spans="1:6">
      <c r="A51" s="2" t="s">
        <v>6</v>
      </c>
      <c r="B51" s="3" t="s">
        <v>121</v>
      </c>
      <c r="C51" s="2" t="s">
        <v>122</v>
      </c>
      <c r="D51" s="2" t="s">
        <v>123</v>
      </c>
      <c r="E51" s="2" t="s">
        <v>10</v>
      </c>
      <c r="F51" s="2" t="s">
        <v>11</v>
      </c>
    </row>
    <row r="52" spans="1:6">
      <c r="A52" s="2" t="s">
        <v>6</v>
      </c>
      <c r="B52" s="3" t="s">
        <v>124</v>
      </c>
      <c r="C52" s="2" t="s">
        <v>125</v>
      </c>
      <c r="D52" s="2" t="s">
        <v>24</v>
      </c>
      <c r="E52" s="2" t="s">
        <v>10</v>
      </c>
      <c r="F52" s="2" t="s">
        <v>11</v>
      </c>
    </row>
    <row r="53" spans="1:6">
      <c r="A53" s="2" t="s">
        <v>6</v>
      </c>
      <c r="B53" s="3" t="s">
        <v>126</v>
      </c>
      <c r="C53" s="2" t="s">
        <v>127</v>
      </c>
      <c r="D53" s="2" t="s">
        <v>114</v>
      </c>
      <c r="E53" s="2" t="s">
        <v>10</v>
      </c>
      <c r="F53" s="2" t="s">
        <v>42</v>
      </c>
    </row>
    <row r="54" spans="1:6">
      <c r="A54" s="2" t="s">
        <v>6</v>
      </c>
      <c r="B54" s="3" t="s">
        <v>128</v>
      </c>
      <c r="C54" s="2" t="s">
        <v>129</v>
      </c>
      <c r="D54" s="2" t="s">
        <v>130</v>
      </c>
      <c r="E54" s="2" t="s">
        <v>10</v>
      </c>
      <c r="F54" s="2" t="s">
        <v>11</v>
      </c>
    </row>
    <row r="55" spans="1:6">
      <c r="A55" s="2" t="s">
        <v>6</v>
      </c>
      <c r="B55" s="3" t="s">
        <v>131</v>
      </c>
      <c r="C55" s="2" t="s">
        <v>132</v>
      </c>
      <c r="D55" s="2" t="s">
        <v>14</v>
      </c>
      <c r="E55" s="2" t="s">
        <v>10</v>
      </c>
      <c r="F55" s="2" t="s">
        <v>42</v>
      </c>
    </row>
    <row r="56" spans="1:6">
      <c r="A56" s="2" t="s">
        <v>6</v>
      </c>
      <c r="B56" s="3" t="s">
        <v>133</v>
      </c>
      <c r="C56" s="2" t="s">
        <v>134</v>
      </c>
      <c r="D56" s="2" t="s">
        <v>135</v>
      </c>
      <c r="E56" s="2" t="s">
        <v>25</v>
      </c>
      <c r="F56" s="2" t="s">
        <v>11</v>
      </c>
    </row>
    <row r="57" spans="1:6">
      <c r="A57" s="2" t="s">
        <v>6</v>
      </c>
      <c r="B57" s="3" t="s">
        <v>136</v>
      </c>
      <c r="C57" s="2" t="s">
        <v>34</v>
      </c>
      <c r="D57" s="2" t="s">
        <v>14</v>
      </c>
      <c r="E57" s="2" t="s">
        <v>10</v>
      </c>
      <c r="F57" s="2" t="s">
        <v>11</v>
      </c>
    </row>
    <row r="58" spans="1:6">
      <c r="A58" s="2" t="s">
        <v>6</v>
      </c>
      <c r="B58" s="3" t="s">
        <v>137</v>
      </c>
      <c r="C58" s="2" t="s">
        <v>138</v>
      </c>
      <c r="D58" s="2" t="s">
        <v>9</v>
      </c>
      <c r="E58" s="2" t="s">
        <v>10</v>
      </c>
      <c r="F58" s="2" t="s">
        <v>11</v>
      </c>
    </row>
    <row r="59" spans="1:6">
      <c r="A59" s="2" t="s">
        <v>6</v>
      </c>
      <c r="B59" s="3" t="s">
        <v>139</v>
      </c>
      <c r="C59" s="2" t="s">
        <v>140</v>
      </c>
      <c r="D59" s="2" t="s">
        <v>24</v>
      </c>
      <c r="E59" s="2" t="s">
        <v>25</v>
      </c>
      <c r="F59" s="2" t="s">
        <v>11</v>
      </c>
    </row>
    <row r="60" spans="1:6">
      <c r="A60" s="2" t="s">
        <v>6</v>
      </c>
      <c r="B60" s="3" t="s">
        <v>141</v>
      </c>
      <c r="C60" s="2" t="s">
        <v>142</v>
      </c>
      <c r="D60" s="2" t="s">
        <v>24</v>
      </c>
      <c r="E60" s="2" t="s">
        <v>25</v>
      </c>
      <c r="F60" s="2" t="s">
        <v>11</v>
      </c>
    </row>
    <row r="61" spans="1:6">
      <c r="A61" s="2" t="s">
        <v>6</v>
      </c>
      <c r="B61" s="3" t="s">
        <v>143</v>
      </c>
      <c r="C61" s="2" t="s">
        <v>144</v>
      </c>
      <c r="D61" s="2" t="s">
        <v>24</v>
      </c>
      <c r="E61" s="2" t="s">
        <v>145</v>
      </c>
      <c r="F61" s="2" t="s">
        <v>11</v>
      </c>
    </row>
    <row r="62" spans="1:6">
      <c r="A62" s="2" t="s">
        <v>6</v>
      </c>
      <c r="B62" s="3" t="s">
        <v>146</v>
      </c>
      <c r="C62" s="2" t="s">
        <v>147</v>
      </c>
      <c r="D62" s="2" t="s">
        <v>14</v>
      </c>
      <c r="E62" s="2" t="s">
        <v>10</v>
      </c>
      <c r="F62" s="2" t="s">
        <v>11</v>
      </c>
    </row>
    <row r="63" spans="1:6">
      <c r="A63" s="2" t="s">
        <v>6</v>
      </c>
      <c r="B63" s="3" t="s">
        <v>148</v>
      </c>
      <c r="C63" s="2" t="s">
        <v>127</v>
      </c>
      <c r="D63" s="2" t="s">
        <v>114</v>
      </c>
      <c r="E63" s="2" t="s">
        <v>10</v>
      </c>
      <c r="F63" s="2" t="s">
        <v>42</v>
      </c>
    </row>
    <row r="64" spans="1:6">
      <c r="A64" s="2" t="s">
        <v>6</v>
      </c>
      <c r="B64" s="3" t="s">
        <v>149</v>
      </c>
      <c r="C64" s="2" t="s">
        <v>150</v>
      </c>
      <c r="D64" s="2" t="s">
        <v>114</v>
      </c>
      <c r="E64" s="2" t="s">
        <v>10</v>
      </c>
      <c r="F64" s="2" t="s">
        <v>11</v>
      </c>
    </row>
    <row r="65" spans="1:6">
      <c r="A65" s="2" t="s">
        <v>6</v>
      </c>
      <c r="B65" s="3" t="s">
        <v>151</v>
      </c>
      <c r="C65" s="2" t="s">
        <v>152</v>
      </c>
      <c r="D65" s="2" t="s">
        <v>94</v>
      </c>
      <c r="E65" s="2" t="s">
        <v>10</v>
      </c>
      <c r="F65" s="2" t="s">
        <v>11</v>
      </c>
    </row>
    <row r="66" spans="1:6">
      <c r="A66" s="2" t="s">
        <v>6</v>
      </c>
      <c r="B66" s="3" t="s">
        <v>153</v>
      </c>
      <c r="C66" s="2" t="s">
        <v>154</v>
      </c>
      <c r="D66" s="2" t="s">
        <v>24</v>
      </c>
      <c r="E66" s="2" t="s">
        <v>10</v>
      </c>
      <c r="F66" s="2" t="s">
        <v>11</v>
      </c>
    </row>
    <row r="67" spans="1:6">
      <c r="A67" s="2" t="s">
        <v>6</v>
      </c>
      <c r="B67" s="3" t="s">
        <v>155</v>
      </c>
      <c r="C67" s="2" t="s">
        <v>156</v>
      </c>
      <c r="D67" s="2" t="s">
        <v>24</v>
      </c>
      <c r="E67" s="2" t="s">
        <v>10</v>
      </c>
      <c r="F67" s="2" t="s">
        <v>11</v>
      </c>
    </row>
    <row r="68" spans="1:6">
      <c r="A68" s="2" t="s">
        <v>6</v>
      </c>
      <c r="B68" s="3" t="s">
        <v>157</v>
      </c>
      <c r="C68" s="2" t="s">
        <v>158</v>
      </c>
      <c r="D68" s="2" t="s">
        <v>24</v>
      </c>
      <c r="E68" s="2" t="s">
        <v>10</v>
      </c>
      <c r="F68" s="2" t="s">
        <v>11</v>
      </c>
    </row>
    <row r="69" spans="1:6">
      <c r="A69" s="2" t="s">
        <v>6</v>
      </c>
      <c r="B69" s="3" t="s">
        <v>159</v>
      </c>
      <c r="C69" s="2" t="s">
        <v>160</v>
      </c>
      <c r="D69" s="2" t="s">
        <v>24</v>
      </c>
      <c r="E69" s="2" t="s">
        <v>10</v>
      </c>
      <c r="F69" s="2" t="s">
        <v>11</v>
      </c>
    </row>
    <row r="70" spans="1:6">
      <c r="A70" s="2" t="s">
        <v>6</v>
      </c>
      <c r="B70" s="3" t="s">
        <v>161</v>
      </c>
      <c r="C70" s="2" t="s">
        <v>162</v>
      </c>
      <c r="D70" s="2" t="s">
        <v>21</v>
      </c>
      <c r="E70" s="2" t="s">
        <v>10</v>
      </c>
      <c r="F70" s="2" t="s">
        <v>11</v>
      </c>
    </row>
    <row r="71" spans="1:6">
      <c r="A71" s="2" t="s">
        <v>6</v>
      </c>
      <c r="B71" s="3" t="s">
        <v>163</v>
      </c>
      <c r="C71" s="2" t="s">
        <v>164</v>
      </c>
      <c r="D71" s="2" t="s">
        <v>14</v>
      </c>
      <c r="E71" s="2" t="s">
        <v>10</v>
      </c>
      <c r="F71" s="2" t="s">
        <v>11</v>
      </c>
    </row>
    <row r="72" spans="1:6">
      <c r="A72" s="2" t="s">
        <v>6</v>
      </c>
      <c r="B72" s="3" t="s">
        <v>165</v>
      </c>
      <c r="C72" s="2" t="s">
        <v>166</v>
      </c>
      <c r="D72" s="2" t="s">
        <v>167</v>
      </c>
      <c r="E72" s="2" t="s">
        <v>10</v>
      </c>
      <c r="F72" s="2" t="s">
        <v>11</v>
      </c>
    </row>
    <row r="73" spans="1:6">
      <c r="A73" s="2" t="s">
        <v>6</v>
      </c>
      <c r="B73" s="3" t="s">
        <v>168</v>
      </c>
      <c r="C73" s="2" t="s">
        <v>169</v>
      </c>
      <c r="D73" s="2" t="s">
        <v>167</v>
      </c>
      <c r="E73" s="2" t="s">
        <v>10</v>
      </c>
      <c r="F73" s="2" t="s">
        <v>11</v>
      </c>
    </row>
    <row r="74" spans="1:6">
      <c r="A74" s="2" t="s">
        <v>6</v>
      </c>
      <c r="B74" s="3" t="s">
        <v>170</v>
      </c>
      <c r="C74" s="2" t="s">
        <v>171</v>
      </c>
      <c r="D74" s="2" t="s">
        <v>32</v>
      </c>
      <c r="E74" s="2" t="s">
        <v>10</v>
      </c>
      <c r="F74" s="2" t="s">
        <v>11</v>
      </c>
    </row>
    <row r="75" spans="1:6">
      <c r="A75" s="2" t="s">
        <v>6</v>
      </c>
      <c r="B75" s="3" t="s">
        <v>172</v>
      </c>
      <c r="C75" s="2" t="s">
        <v>173</v>
      </c>
      <c r="D75" s="2" t="s">
        <v>167</v>
      </c>
      <c r="E75" s="2" t="s">
        <v>10</v>
      </c>
      <c r="F75" s="2" t="s">
        <v>11</v>
      </c>
    </row>
    <row r="76" spans="1:6">
      <c r="A76" s="2" t="s">
        <v>6</v>
      </c>
      <c r="B76" s="3" t="s">
        <v>174</v>
      </c>
      <c r="C76" s="2" t="s">
        <v>175</v>
      </c>
      <c r="D76" s="2" t="s">
        <v>167</v>
      </c>
      <c r="E76" s="2" t="s">
        <v>10</v>
      </c>
      <c r="F76" s="2" t="s">
        <v>11</v>
      </c>
    </row>
    <row r="77" spans="1:6">
      <c r="A77" s="2" t="s">
        <v>6</v>
      </c>
      <c r="B77" s="3" t="s">
        <v>176</v>
      </c>
      <c r="C77" s="2" t="s">
        <v>177</v>
      </c>
      <c r="D77" s="2" t="s">
        <v>14</v>
      </c>
      <c r="E77" s="2" t="s">
        <v>10</v>
      </c>
      <c r="F77" s="2" t="s">
        <v>11</v>
      </c>
    </row>
    <row r="78" spans="1:6">
      <c r="A78" s="2" t="s">
        <v>6</v>
      </c>
      <c r="B78" s="3" t="s">
        <v>178</v>
      </c>
      <c r="C78" s="2" t="s">
        <v>179</v>
      </c>
      <c r="D78" s="2" t="s">
        <v>14</v>
      </c>
      <c r="E78" s="2" t="s">
        <v>10</v>
      </c>
      <c r="F78" s="2" t="s">
        <v>11</v>
      </c>
    </row>
    <row r="79" spans="1:6">
      <c r="A79" s="2" t="s">
        <v>6</v>
      </c>
      <c r="B79" s="3" t="s">
        <v>180</v>
      </c>
      <c r="C79" s="2" t="s">
        <v>181</v>
      </c>
      <c r="D79" s="2" t="s">
        <v>14</v>
      </c>
      <c r="E79" s="2" t="s">
        <v>10</v>
      </c>
      <c r="F79" s="2" t="s">
        <v>11</v>
      </c>
    </row>
    <row r="80" spans="1:6">
      <c r="A80" s="2" t="s">
        <v>6</v>
      </c>
      <c r="B80" s="3" t="s">
        <v>182</v>
      </c>
      <c r="C80" s="2" t="s">
        <v>183</v>
      </c>
      <c r="D80" s="2" t="s">
        <v>14</v>
      </c>
      <c r="E80" s="2" t="s">
        <v>10</v>
      </c>
      <c r="F80" s="2" t="s">
        <v>11</v>
      </c>
    </row>
    <row r="81" spans="1:6">
      <c r="A81" s="2" t="s">
        <v>6</v>
      </c>
      <c r="B81" s="3" t="s">
        <v>184</v>
      </c>
      <c r="C81" s="2" t="s">
        <v>185</v>
      </c>
      <c r="D81" s="2" t="s">
        <v>14</v>
      </c>
      <c r="E81" s="2" t="s">
        <v>10</v>
      </c>
      <c r="F81" s="2" t="s">
        <v>11</v>
      </c>
    </row>
    <row r="82" spans="1:6">
      <c r="A82" s="2" t="s">
        <v>6</v>
      </c>
      <c r="B82" s="3" t="s">
        <v>186</v>
      </c>
      <c r="C82" s="2" t="s">
        <v>187</v>
      </c>
      <c r="D82" s="2" t="s">
        <v>14</v>
      </c>
      <c r="E82" s="2" t="s">
        <v>10</v>
      </c>
      <c r="F82" s="2" t="s">
        <v>11</v>
      </c>
    </row>
    <row r="83" spans="1:6">
      <c r="A83" s="2" t="s">
        <v>6</v>
      </c>
      <c r="B83" s="3" t="s">
        <v>188</v>
      </c>
      <c r="C83" s="2" t="s">
        <v>189</v>
      </c>
      <c r="D83" s="2" t="s">
        <v>14</v>
      </c>
      <c r="E83" s="2" t="s">
        <v>10</v>
      </c>
      <c r="F83" s="2" t="s">
        <v>11</v>
      </c>
    </row>
    <row r="84" spans="1:6">
      <c r="A84" s="2" t="s">
        <v>6</v>
      </c>
      <c r="B84" s="3" t="s">
        <v>190</v>
      </c>
      <c r="C84" s="2" t="s">
        <v>191</v>
      </c>
      <c r="D84" s="2" t="s">
        <v>94</v>
      </c>
      <c r="E84" s="2" t="s">
        <v>10</v>
      </c>
      <c r="F84" s="2" t="s">
        <v>11</v>
      </c>
    </row>
    <row r="85" spans="1:6">
      <c r="A85" s="2" t="s">
        <v>6</v>
      </c>
      <c r="B85" s="3" t="s">
        <v>192</v>
      </c>
      <c r="C85" s="2" t="s">
        <v>193</v>
      </c>
      <c r="D85" s="2" t="s">
        <v>123</v>
      </c>
      <c r="E85" s="2" t="s">
        <v>10</v>
      </c>
      <c r="F85" s="2" t="s">
        <v>11</v>
      </c>
    </row>
    <row r="86" spans="1:6">
      <c r="A86" s="2" t="s">
        <v>6</v>
      </c>
      <c r="B86" s="3" t="s">
        <v>194</v>
      </c>
      <c r="C86" s="2" t="s">
        <v>195</v>
      </c>
      <c r="D86" s="2" t="s">
        <v>51</v>
      </c>
      <c r="E86" s="2" t="s">
        <v>10</v>
      </c>
      <c r="F86" s="2" t="s">
        <v>11</v>
      </c>
    </row>
    <row r="87" spans="1:6">
      <c r="A87" s="2" t="s">
        <v>6</v>
      </c>
      <c r="B87" s="3" t="s">
        <v>196</v>
      </c>
      <c r="C87" s="2" t="s">
        <v>197</v>
      </c>
      <c r="D87" s="2" t="s">
        <v>14</v>
      </c>
      <c r="E87" s="2" t="s">
        <v>10</v>
      </c>
      <c r="F87" s="2" t="s">
        <v>11</v>
      </c>
    </row>
    <row r="88" spans="1:6">
      <c r="A88" s="2" t="s">
        <v>6</v>
      </c>
      <c r="B88" s="3" t="s">
        <v>198</v>
      </c>
      <c r="C88" s="2" t="s">
        <v>13</v>
      </c>
      <c r="D88" s="2" t="s">
        <v>14</v>
      </c>
      <c r="E88" s="2" t="s">
        <v>10</v>
      </c>
      <c r="F88" s="2" t="s">
        <v>11</v>
      </c>
    </row>
    <row r="89" spans="1:6">
      <c r="A89" s="2" t="s">
        <v>6</v>
      </c>
      <c r="B89" s="3" t="s">
        <v>199</v>
      </c>
      <c r="C89" s="2" t="s">
        <v>200</v>
      </c>
      <c r="D89" s="2" t="s">
        <v>14</v>
      </c>
      <c r="E89" s="2" t="s">
        <v>10</v>
      </c>
      <c r="F89" s="2" t="s">
        <v>11</v>
      </c>
    </row>
    <row r="90" spans="1:6">
      <c r="A90" s="2" t="s">
        <v>6</v>
      </c>
      <c r="B90" s="3" t="s">
        <v>201</v>
      </c>
      <c r="C90" s="2" t="s">
        <v>202</v>
      </c>
      <c r="D90" s="2" t="s">
        <v>14</v>
      </c>
      <c r="E90" s="2" t="s">
        <v>10</v>
      </c>
      <c r="F90" s="2" t="s">
        <v>11</v>
      </c>
    </row>
    <row r="91" spans="1:6">
      <c r="A91" s="2" t="s">
        <v>6</v>
      </c>
      <c r="B91" s="3" t="s">
        <v>203</v>
      </c>
      <c r="C91" s="2" t="s">
        <v>204</v>
      </c>
      <c r="D91" s="2" t="s">
        <v>14</v>
      </c>
      <c r="E91" s="2" t="s">
        <v>10</v>
      </c>
      <c r="F91" s="2" t="s">
        <v>11</v>
      </c>
    </row>
    <row r="92" spans="1:6">
      <c r="A92" s="2" t="s">
        <v>6</v>
      </c>
      <c r="B92" s="3" t="s">
        <v>205</v>
      </c>
      <c r="C92" s="2" t="s">
        <v>206</v>
      </c>
      <c r="D92" s="2" t="s">
        <v>21</v>
      </c>
      <c r="E92" s="2" t="s">
        <v>10</v>
      </c>
      <c r="F92" s="2" t="s">
        <v>11</v>
      </c>
    </row>
    <row r="93" spans="1:6">
      <c r="A93" s="2" t="s">
        <v>6</v>
      </c>
      <c r="B93" s="3" t="s">
        <v>207</v>
      </c>
      <c r="C93" s="2" t="s">
        <v>208</v>
      </c>
      <c r="D93" s="2" t="s">
        <v>24</v>
      </c>
      <c r="E93" s="2" t="s">
        <v>10</v>
      </c>
      <c r="F93" s="2" t="s">
        <v>11</v>
      </c>
    </row>
    <row r="94" spans="1:6">
      <c r="A94" s="2" t="s">
        <v>6</v>
      </c>
      <c r="B94" s="3" t="s">
        <v>209</v>
      </c>
      <c r="C94" s="2" t="s">
        <v>210</v>
      </c>
      <c r="D94" s="2" t="s">
        <v>211</v>
      </c>
      <c r="E94" s="2" t="s">
        <v>10</v>
      </c>
      <c r="F94" s="2" t="s">
        <v>11</v>
      </c>
    </row>
    <row r="95" spans="1:6">
      <c r="A95" s="2" t="s">
        <v>6</v>
      </c>
      <c r="B95" s="3" t="s">
        <v>212</v>
      </c>
      <c r="C95" s="2" t="s">
        <v>213</v>
      </c>
      <c r="D95" s="2" t="s">
        <v>214</v>
      </c>
      <c r="E95" s="2" t="s">
        <v>10</v>
      </c>
      <c r="F95" s="2" t="s">
        <v>11</v>
      </c>
    </row>
    <row r="96" spans="1:6">
      <c r="A96" s="2" t="s">
        <v>6</v>
      </c>
      <c r="B96" s="3" t="s">
        <v>215</v>
      </c>
      <c r="C96" s="2" t="s">
        <v>216</v>
      </c>
      <c r="D96" s="2" t="s">
        <v>99</v>
      </c>
      <c r="E96" s="2" t="s">
        <v>10</v>
      </c>
      <c r="F96" s="2" t="s">
        <v>11</v>
      </c>
    </row>
    <row r="97" spans="1:6">
      <c r="A97" s="2" t="s">
        <v>217</v>
      </c>
      <c r="B97" s="3" t="s">
        <v>218</v>
      </c>
      <c r="C97" s="2" t="s">
        <v>219</v>
      </c>
      <c r="D97" s="2" t="s">
        <v>220</v>
      </c>
      <c r="E97" s="2" t="s">
        <v>25</v>
      </c>
      <c r="F97" s="2" t="s">
        <v>11</v>
      </c>
    </row>
    <row r="98" spans="1:6">
      <c r="A98" s="2" t="s">
        <v>217</v>
      </c>
      <c r="B98" s="3" t="s">
        <v>221</v>
      </c>
      <c r="C98" s="2" t="s">
        <v>222</v>
      </c>
      <c r="D98" s="2" t="s">
        <v>223</v>
      </c>
      <c r="E98" s="2" t="s">
        <v>10</v>
      </c>
      <c r="F98" s="2" t="s">
        <v>11</v>
      </c>
    </row>
    <row r="99" spans="1:6">
      <c r="A99" s="2" t="s">
        <v>217</v>
      </c>
      <c r="B99" s="3" t="s">
        <v>224</v>
      </c>
      <c r="C99" s="2" t="s">
        <v>225</v>
      </c>
      <c r="D99" s="2" t="s">
        <v>226</v>
      </c>
      <c r="E99" s="2" t="s">
        <v>25</v>
      </c>
      <c r="F99" s="2" t="s">
        <v>11</v>
      </c>
    </row>
    <row r="100" spans="1:6">
      <c r="A100" s="2" t="s">
        <v>217</v>
      </c>
      <c r="B100" s="3" t="s">
        <v>227</v>
      </c>
      <c r="C100" s="2" t="s">
        <v>228</v>
      </c>
      <c r="D100" s="2" t="s">
        <v>229</v>
      </c>
      <c r="E100" s="2" t="s">
        <v>10</v>
      </c>
      <c r="F100" s="2" t="s">
        <v>11</v>
      </c>
    </row>
    <row r="101" spans="1:6">
      <c r="A101" s="2" t="s">
        <v>217</v>
      </c>
      <c r="B101" s="3" t="s">
        <v>230</v>
      </c>
      <c r="C101" s="2" t="s">
        <v>231</v>
      </c>
      <c r="D101" s="2" t="s">
        <v>229</v>
      </c>
      <c r="E101" s="2" t="s">
        <v>10</v>
      </c>
      <c r="F101" s="2" t="s">
        <v>42</v>
      </c>
    </row>
    <row r="102" spans="1:6">
      <c r="A102" s="2" t="s">
        <v>217</v>
      </c>
      <c r="B102" s="3" t="s">
        <v>232</v>
      </c>
      <c r="C102" s="2" t="s">
        <v>233</v>
      </c>
      <c r="D102" s="2" t="s">
        <v>229</v>
      </c>
      <c r="E102" s="2" t="s">
        <v>234</v>
      </c>
      <c r="F102" s="2" t="s">
        <v>11</v>
      </c>
    </row>
    <row r="103" spans="1:6">
      <c r="A103" s="2" t="s">
        <v>217</v>
      </c>
      <c r="B103" s="3" t="s">
        <v>235</v>
      </c>
      <c r="C103" s="2" t="s">
        <v>236</v>
      </c>
      <c r="D103" s="2" t="s">
        <v>237</v>
      </c>
      <c r="E103" s="2" t="s">
        <v>10</v>
      </c>
      <c r="F103" s="2" t="s">
        <v>11</v>
      </c>
    </row>
    <row r="104" spans="1:6">
      <c r="A104" s="2" t="s">
        <v>217</v>
      </c>
      <c r="B104" s="3" t="s">
        <v>238</v>
      </c>
      <c r="C104" s="2" t="s">
        <v>239</v>
      </c>
      <c r="D104" s="2" t="s">
        <v>240</v>
      </c>
      <c r="E104" s="2" t="s">
        <v>10</v>
      </c>
      <c r="F104" s="2" t="s">
        <v>11</v>
      </c>
    </row>
    <row r="105" spans="1:6">
      <c r="A105" s="2" t="s">
        <v>217</v>
      </c>
      <c r="B105" s="3" t="s">
        <v>241</v>
      </c>
      <c r="C105" s="2" t="s">
        <v>242</v>
      </c>
      <c r="D105" s="2" t="s">
        <v>220</v>
      </c>
      <c r="E105" s="2" t="s">
        <v>10</v>
      </c>
      <c r="F105" s="2" t="s">
        <v>42</v>
      </c>
    </row>
    <row r="106" spans="1:6">
      <c r="A106" s="2" t="s">
        <v>217</v>
      </c>
      <c r="B106" s="3" t="s">
        <v>243</v>
      </c>
      <c r="C106" s="2" t="s">
        <v>244</v>
      </c>
      <c r="D106" s="2" t="s">
        <v>237</v>
      </c>
      <c r="E106" s="2" t="s">
        <v>10</v>
      </c>
      <c r="F106" s="2" t="s">
        <v>42</v>
      </c>
    </row>
    <row r="107" spans="1:6">
      <c r="A107" s="2" t="s">
        <v>217</v>
      </c>
      <c r="B107" s="3" t="s">
        <v>245</v>
      </c>
      <c r="C107" s="2" t="s">
        <v>246</v>
      </c>
      <c r="D107" s="2" t="s">
        <v>247</v>
      </c>
      <c r="E107" s="2" t="s">
        <v>10</v>
      </c>
      <c r="F107" s="2" t="s">
        <v>11</v>
      </c>
    </row>
    <row r="108" spans="1:6">
      <c r="A108" s="2" t="s">
        <v>217</v>
      </c>
      <c r="B108" s="3" t="s">
        <v>248</v>
      </c>
      <c r="C108" s="2" t="s">
        <v>249</v>
      </c>
      <c r="D108" s="2" t="s">
        <v>237</v>
      </c>
      <c r="E108" s="2" t="s">
        <v>10</v>
      </c>
      <c r="F108" s="2" t="s">
        <v>11</v>
      </c>
    </row>
    <row r="109" spans="1:6">
      <c r="A109" s="2" t="s">
        <v>217</v>
      </c>
      <c r="B109" s="3" t="s">
        <v>250</v>
      </c>
      <c r="C109" s="2" t="s">
        <v>251</v>
      </c>
      <c r="D109" s="2" t="s">
        <v>229</v>
      </c>
      <c r="E109" s="2" t="s">
        <v>10</v>
      </c>
      <c r="F109" s="2" t="s">
        <v>42</v>
      </c>
    </row>
    <row r="110" spans="1:6">
      <c r="A110" s="2" t="s">
        <v>217</v>
      </c>
      <c r="B110" s="3" t="s">
        <v>252</v>
      </c>
      <c r="C110" s="2" t="s">
        <v>253</v>
      </c>
      <c r="D110" s="2" t="s">
        <v>229</v>
      </c>
      <c r="E110" s="2" t="s">
        <v>25</v>
      </c>
      <c r="F110" s="2" t="s">
        <v>11</v>
      </c>
    </row>
    <row r="111" spans="1:6">
      <c r="A111" s="2" t="s">
        <v>217</v>
      </c>
      <c r="B111" s="3" t="s">
        <v>254</v>
      </c>
      <c r="C111" s="2" t="s">
        <v>255</v>
      </c>
      <c r="D111" s="2" t="s">
        <v>229</v>
      </c>
      <c r="E111" s="2" t="s">
        <v>25</v>
      </c>
      <c r="F111" s="2" t="s">
        <v>11</v>
      </c>
    </row>
    <row r="112" spans="1:6">
      <c r="A112" s="2" t="s">
        <v>217</v>
      </c>
      <c r="B112" s="3" t="s">
        <v>256</v>
      </c>
      <c r="C112" s="2" t="s">
        <v>257</v>
      </c>
      <c r="D112" s="2" t="s">
        <v>229</v>
      </c>
      <c r="E112" s="2" t="s">
        <v>10</v>
      </c>
      <c r="F112" s="2" t="s">
        <v>42</v>
      </c>
    </row>
    <row r="113" spans="1:6">
      <c r="A113" s="2" t="s">
        <v>217</v>
      </c>
      <c r="B113" s="3" t="s">
        <v>258</v>
      </c>
      <c r="C113" s="2" t="s">
        <v>259</v>
      </c>
      <c r="D113" s="2" t="s">
        <v>229</v>
      </c>
      <c r="E113" s="2" t="s">
        <v>234</v>
      </c>
      <c r="F113" s="2" t="s">
        <v>11</v>
      </c>
    </row>
    <row r="114" spans="1:6">
      <c r="A114" s="2" t="s">
        <v>217</v>
      </c>
      <c r="B114" s="3" t="s">
        <v>260</v>
      </c>
      <c r="C114" s="2" t="s">
        <v>261</v>
      </c>
      <c r="D114" s="2" t="s">
        <v>229</v>
      </c>
      <c r="E114" s="2" t="s">
        <v>234</v>
      </c>
      <c r="F114" s="2" t="s">
        <v>11</v>
      </c>
    </row>
    <row r="115" spans="1:6">
      <c r="A115" s="2" t="s">
        <v>217</v>
      </c>
      <c r="B115" s="3" t="s">
        <v>262</v>
      </c>
      <c r="C115" s="2" t="s">
        <v>263</v>
      </c>
      <c r="D115" s="2" t="s">
        <v>229</v>
      </c>
      <c r="E115" s="2" t="s">
        <v>10</v>
      </c>
      <c r="F115" s="2" t="s">
        <v>11</v>
      </c>
    </row>
    <row r="116" spans="1:6">
      <c r="A116" s="2" t="s">
        <v>217</v>
      </c>
      <c r="B116" s="3" t="s">
        <v>264</v>
      </c>
      <c r="C116" s="2" t="s">
        <v>265</v>
      </c>
      <c r="D116" s="2" t="s">
        <v>229</v>
      </c>
      <c r="E116" s="2" t="s">
        <v>25</v>
      </c>
      <c r="F116" s="2" t="s">
        <v>11</v>
      </c>
    </row>
    <row r="117" spans="1:6">
      <c r="A117" s="2" t="s">
        <v>217</v>
      </c>
      <c r="B117" s="3" t="s">
        <v>266</v>
      </c>
      <c r="C117" s="2" t="s">
        <v>267</v>
      </c>
      <c r="D117" s="2" t="s">
        <v>229</v>
      </c>
      <c r="E117" s="2" t="s">
        <v>10</v>
      </c>
      <c r="F117" s="2" t="s">
        <v>11</v>
      </c>
    </row>
    <row r="118" spans="1:6">
      <c r="A118" s="2" t="s">
        <v>217</v>
      </c>
      <c r="B118" s="3" t="s">
        <v>268</v>
      </c>
      <c r="C118" s="2" t="s">
        <v>269</v>
      </c>
      <c r="D118" s="2" t="s">
        <v>226</v>
      </c>
      <c r="E118" s="2" t="s">
        <v>10</v>
      </c>
      <c r="F118" s="2" t="s">
        <v>42</v>
      </c>
    </row>
    <row r="119" spans="1:6">
      <c r="A119" s="2" t="s">
        <v>217</v>
      </c>
      <c r="B119" s="3" t="s">
        <v>270</v>
      </c>
      <c r="C119" s="2" t="s">
        <v>271</v>
      </c>
      <c r="D119" s="2" t="s">
        <v>271</v>
      </c>
      <c r="E119" s="2" t="s">
        <v>10</v>
      </c>
      <c r="F119" s="2" t="s">
        <v>11</v>
      </c>
    </row>
    <row r="120" spans="1:6">
      <c r="A120" s="2" t="s">
        <v>217</v>
      </c>
      <c r="B120" s="3" t="s">
        <v>272</v>
      </c>
      <c r="C120" s="2" t="s">
        <v>273</v>
      </c>
      <c r="D120" s="2" t="s">
        <v>229</v>
      </c>
      <c r="E120" s="2" t="s">
        <v>25</v>
      </c>
      <c r="F120" s="2" t="s">
        <v>11</v>
      </c>
    </row>
    <row r="121" spans="1:6">
      <c r="A121" s="2" t="s">
        <v>217</v>
      </c>
      <c r="B121" s="3" t="s">
        <v>274</v>
      </c>
      <c r="C121" s="2" t="s">
        <v>275</v>
      </c>
      <c r="D121" s="2" t="s">
        <v>237</v>
      </c>
      <c r="E121" s="2" t="s">
        <v>10</v>
      </c>
      <c r="F121" s="2" t="s">
        <v>11</v>
      </c>
    </row>
    <row r="122" spans="1:6">
      <c r="A122" s="2" t="s">
        <v>217</v>
      </c>
      <c r="B122" s="3" t="s">
        <v>276</v>
      </c>
      <c r="C122" s="2" t="s">
        <v>277</v>
      </c>
      <c r="D122" s="2" t="s">
        <v>237</v>
      </c>
      <c r="E122" s="2" t="s">
        <v>10</v>
      </c>
      <c r="F122" s="2" t="s">
        <v>11</v>
      </c>
    </row>
    <row r="123" spans="1:6">
      <c r="A123" s="2" t="s">
        <v>217</v>
      </c>
      <c r="B123" s="3" t="s">
        <v>278</v>
      </c>
      <c r="C123" s="2" t="s">
        <v>279</v>
      </c>
      <c r="D123" s="2" t="s">
        <v>226</v>
      </c>
      <c r="E123" s="2" t="s">
        <v>10</v>
      </c>
      <c r="F123" s="2" t="s">
        <v>11</v>
      </c>
    </row>
    <row r="124" spans="1:6">
      <c r="A124" s="2" t="s">
        <v>217</v>
      </c>
      <c r="B124" s="3" t="s">
        <v>280</v>
      </c>
      <c r="C124" s="2" t="s">
        <v>281</v>
      </c>
      <c r="D124" s="2" t="s">
        <v>229</v>
      </c>
      <c r="E124" s="2" t="s">
        <v>10</v>
      </c>
      <c r="F124" s="2" t="s">
        <v>11</v>
      </c>
    </row>
    <row r="125" spans="1:6">
      <c r="A125" s="2" t="s">
        <v>217</v>
      </c>
      <c r="B125" s="3" t="s">
        <v>282</v>
      </c>
      <c r="C125" s="2" t="s">
        <v>283</v>
      </c>
      <c r="D125" s="2" t="s">
        <v>229</v>
      </c>
      <c r="E125" s="2" t="s">
        <v>10</v>
      </c>
      <c r="F125" s="2" t="s">
        <v>42</v>
      </c>
    </row>
    <row r="126" spans="1:6">
      <c r="A126" s="2" t="s">
        <v>217</v>
      </c>
      <c r="B126" s="3" t="s">
        <v>284</v>
      </c>
      <c r="C126" s="2" t="s">
        <v>285</v>
      </c>
      <c r="D126" s="2" t="s">
        <v>226</v>
      </c>
      <c r="E126" s="2" t="s">
        <v>10</v>
      </c>
      <c r="F126" s="2" t="s">
        <v>42</v>
      </c>
    </row>
    <row r="127" spans="1:6">
      <c r="A127" s="2" t="s">
        <v>217</v>
      </c>
      <c r="B127" s="3" t="s">
        <v>286</v>
      </c>
      <c r="C127" s="2" t="s">
        <v>287</v>
      </c>
      <c r="D127" s="2" t="s">
        <v>226</v>
      </c>
      <c r="E127" s="2" t="s">
        <v>10</v>
      </c>
      <c r="F127" s="2" t="s">
        <v>42</v>
      </c>
    </row>
    <row r="128" spans="1:6">
      <c r="A128" s="2" t="s">
        <v>217</v>
      </c>
      <c r="B128" s="3" t="s">
        <v>288</v>
      </c>
      <c r="C128" s="2" t="s">
        <v>289</v>
      </c>
      <c r="D128" s="2" t="s">
        <v>247</v>
      </c>
      <c r="E128" s="2" t="s">
        <v>10</v>
      </c>
      <c r="F128" s="2" t="s">
        <v>11</v>
      </c>
    </row>
    <row r="129" spans="1:6">
      <c r="A129" s="2" t="s">
        <v>217</v>
      </c>
      <c r="B129" s="3" t="s">
        <v>290</v>
      </c>
      <c r="C129" s="2" t="s">
        <v>291</v>
      </c>
      <c r="D129" s="2" t="s">
        <v>229</v>
      </c>
      <c r="E129" s="2" t="s">
        <v>10</v>
      </c>
      <c r="F129" s="2" t="s">
        <v>11</v>
      </c>
    </row>
    <row r="130" spans="1:6">
      <c r="A130" s="2" t="s">
        <v>217</v>
      </c>
      <c r="B130" s="3" t="s">
        <v>292</v>
      </c>
      <c r="C130" s="2" t="s">
        <v>293</v>
      </c>
      <c r="D130" s="2" t="s">
        <v>223</v>
      </c>
      <c r="E130" s="2" t="s">
        <v>25</v>
      </c>
      <c r="F130" s="2" t="s">
        <v>11</v>
      </c>
    </row>
    <row r="131" spans="1:6">
      <c r="A131" s="2" t="s">
        <v>217</v>
      </c>
      <c r="B131" s="3" t="s">
        <v>294</v>
      </c>
      <c r="C131" s="2" t="s">
        <v>295</v>
      </c>
      <c r="D131" s="2" t="s">
        <v>223</v>
      </c>
      <c r="E131" s="2" t="s">
        <v>10</v>
      </c>
      <c r="F131" s="2" t="s">
        <v>11</v>
      </c>
    </row>
    <row r="132" spans="1:6">
      <c r="A132" s="2" t="s">
        <v>217</v>
      </c>
      <c r="B132" s="3" t="s">
        <v>296</v>
      </c>
      <c r="C132" s="2" t="s">
        <v>297</v>
      </c>
      <c r="D132" s="2" t="s">
        <v>298</v>
      </c>
      <c r="E132" s="2" t="s">
        <v>25</v>
      </c>
      <c r="F132" s="2" t="s">
        <v>11</v>
      </c>
    </row>
    <row r="133" spans="1:6">
      <c r="A133" s="2" t="s">
        <v>217</v>
      </c>
      <c r="B133" s="3" t="s">
        <v>299</v>
      </c>
      <c r="C133" s="2" t="s">
        <v>300</v>
      </c>
      <c r="D133" s="2" t="s">
        <v>298</v>
      </c>
      <c r="E133" s="2" t="s">
        <v>25</v>
      </c>
      <c r="F133" s="2" t="s">
        <v>11</v>
      </c>
    </row>
    <row r="134" spans="1:6">
      <c r="A134" s="2" t="s">
        <v>217</v>
      </c>
      <c r="B134" s="3" t="s">
        <v>301</v>
      </c>
      <c r="C134" s="2" t="s">
        <v>302</v>
      </c>
      <c r="D134" s="2" t="s">
        <v>298</v>
      </c>
      <c r="E134" s="2" t="s">
        <v>10</v>
      </c>
      <c r="F134" s="2" t="s">
        <v>11</v>
      </c>
    </row>
    <row r="135" spans="1:6">
      <c r="A135" s="2" t="s">
        <v>217</v>
      </c>
      <c r="B135" s="3" t="s">
        <v>303</v>
      </c>
      <c r="C135" s="2" t="s">
        <v>304</v>
      </c>
      <c r="D135" s="2" t="s">
        <v>298</v>
      </c>
      <c r="E135" s="2" t="s">
        <v>10</v>
      </c>
      <c r="F135" s="2" t="s">
        <v>11</v>
      </c>
    </row>
    <row r="136" spans="1:6">
      <c r="A136" s="2" t="s">
        <v>217</v>
      </c>
      <c r="B136" s="3" t="s">
        <v>305</v>
      </c>
      <c r="C136" s="2" t="s">
        <v>306</v>
      </c>
      <c r="D136" s="2" t="s">
        <v>298</v>
      </c>
      <c r="E136" s="2" t="s">
        <v>10</v>
      </c>
      <c r="F136" s="2" t="s">
        <v>11</v>
      </c>
    </row>
    <row r="137" spans="1:6">
      <c r="A137" s="2" t="s">
        <v>217</v>
      </c>
      <c r="B137" s="3" t="s">
        <v>307</v>
      </c>
      <c r="C137" s="2" t="s">
        <v>308</v>
      </c>
      <c r="D137" s="2" t="s">
        <v>240</v>
      </c>
      <c r="E137" s="2" t="s">
        <v>309</v>
      </c>
      <c r="F137" s="2" t="s">
        <v>11</v>
      </c>
    </row>
    <row r="138" spans="1:6">
      <c r="A138" s="2" t="s">
        <v>217</v>
      </c>
      <c r="B138" s="3" t="s">
        <v>310</v>
      </c>
      <c r="C138" s="2" t="s">
        <v>311</v>
      </c>
      <c r="D138" s="2" t="s">
        <v>240</v>
      </c>
      <c r="E138" s="2" t="s">
        <v>25</v>
      </c>
      <c r="F138" s="2" t="s">
        <v>11</v>
      </c>
    </row>
    <row r="139" spans="1:6">
      <c r="A139" s="2" t="s">
        <v>217</v>
      </c>
      <c r="B139" s="3" t="s">
        <v>312</v>
      </c>
      <c r="C139" s="2" t="s">
        <v>313</v>
      </c>
      <c r="D139" s="2" t="s">
        <v>240</v>
      </c>
      <c r="E139" s="2" t="s">
        <v>234</v>
      </c>
      <c r="F139" s="2" t="s">
        <v>11</v>
      </c>
    </row>
    <row r="140" spans="1:6">
      <c r="A140" s="2" t="s">
        <v>314</v>
      </c>
      <c r="B140" s="3" t="s">
        <v>315</v>
      </c>
      <c r="C140" s="2" t="s">
        <v>316</v>
      </c>
      <c r="D140" s="2" t="s">
        <v>317</v>
      </c>
      <c r="E140" s="2" t="s">
        <v>318</v>
      </c>
      <c r="F140" s="4" t="s">
        <v>11</v>
      </c>
    </row>
    <row r="141" spans="1:6">
      <c r="A141" s="2" t="s">
        <v>314</v>
      </c>
      <c r="B141" s="5" t="s">
        <v>319</v>
      </c>
      <c r="C141" s="4" t="s">
        <v>320</v>
      </c>
      <c r="D141" s="4" t="s">
        <v>317</v>
      </c>
      <c r="E141" s="4" t="s">
        <v>318</v>
      </c>
      <c r="F141" s="4" t="s">
        <v>11</v>
      </c>
    </row>
    <row r="142" spans="1:6">
      <c r="A142" s="2" t="s">
        <v>314</v>
      </c>
      <c r="B142" s="5" t="s">
        <v>321</v>
      </c>
      <c r="C142" s="4" t="s">
        <v>322</v>
      </c>
      <c r="D142" s="2" t="s">
        <v>317</v>
      </c>
      <c r="E142" s="4" t="s">
        <v>318</v>
      </c>
      <c r="F142" s="4" t="s">
        <v>11</v>
      </c>
    </row>
    <row r="143" spans="1:6">
      <c r="A143" s="2" t="s">
        <v>314</v>
      </c>
      <c r="B143" s="3" t="s">
        <v>323</v>
      </c>
      <c r="C143" s="2" t="s">
        <v>324</v>
      </c>
      <c r="D143" s="2" t="s">
        <v>317</v>
      </c>
      <c r="E143" s="2" t="s">
        <v>318</v>
      </c>
      <c r="F143" s="4" t="s">
        <v>11</v>
      </c>
    </row>
    <row r="144" spans="1:6">
      <c r="A144" s="2" t="s">
        <v>314</v>
      </c>
      <c r="B144" s="5" t="s">
        <v>325</v>
      </c>
      <c r="C144" s="4" t="s">
        <v>326</v>
      </c>
      <c r="D144" s="2" t="s">
        <v>317</v>
      </c>
      <c r="E144" s="4" t="s">
        <v>318</v>
      </c>
      <c r="F144" s="4" t="s">
        <v>11</v>
      </c>
    </row>
    <row r="145" spans="1:6">
      <c r="A145" s="2" t="s">
        <v>314</v>
      </c>
      <c r="B145" s="5" t="s">
        <v>327</v>
      </c>
      <c r="C145" s="4" t="s">
        <v>328</v>
      </c>
      <c r="D145" s="4" t="s">
        <v>329</v>
      </c>
      <c r="E145" s="4" t="s">
        <v>25</v>
      </c>
      <c r="F145" s="4" t="s">
        <v>11</v>
      </c>
    </row>
    <row r="146" spans="1:6">
      <c r="A146" s="2" t="s">
        <v>314</v>
      </c>
      <c r="B146" s="3" t="s">
        <v>330</v>
      </c>
      <c r="C146" s="2" t="s">
        <v>331</v>
      </c>
      <c r="D146" s="2" t="s">
        <v>329</v>
      </c>
      <c r="E146" s="2" t="s">
        <v>318</v>
      </c>
      <c r="F146" s="4" t="s">
        <v>11</v>
      </c>
    </row>
    <row r="147" spans="1:6">
      <c r="A147" s="2" t="s">
        <v>314</v>
      </c>
      <c r="B147" s="5" t="s">
        <v>332</v>
      </c>
      <c r="C147" s="4" t="s">
        <v>333</v>
      </c>
      <c r="D147" s="4" t="s">
        <v>334</v>
      </c>
      <c r="E147" s="4" t="s">
        <v>318</v>
      </c>
      <c r="F147" s="4" t="s">
        <v>42</v>
      </c>
    </row>
    <row r="148" spans="1:6">
      <c r="A148" s="2" t="s">
        <v>314</v>
      </c>
      <c r="B148" s="3" t="s">
        <v>335</v>
      </c>
      <c r="C148" s="2" t="s">
        <v>336</v>
      </c>
      <c r="D148" s="2" t="s">
        <v>329</v>
      </c>
      <c r="E148" s="2" t="s">
        <v>25</v>
      </c>
      <c r="F148" s="2" t="s">
        <v>11</v>
      </c>
    </row>
    <row r="149" spans="1:6">
      <c r="A149" s="2" t="s">
        <v>314</v>
      </c>
      <c r="B149" s="5" t="s">
        <v>337</v>
      </c>
      <c r="C149" s="4" t="s">
        <v>338</v>
      </c>
      <c r="D149" s="2" t="s">
        <v>317</v>
      </c>
      <c r="E149" s="4" t="s">
        <v>318</v>
      </c>
      <c r="F149" s="4" t="s">
        <v>11</v>
      </c>
    </row>
    <row r="150" spans="1:6">
      <c r="A150" s="2" t="s">
        <v>314</v>
      </c>
      <c r="B150" s="3" t="s">
        <v>339</v>
      </c>
      <c r="C150" s="2" t="s">
        <v>340</v>
      </c>
      <c r="D150" s="2" t="s">
        <v>341</v>
      </c>
      <c r="E150" s="2" t="s">
        <v>318</v>
      </c>
      <c r="F150" s="4" t="s">
        <v>11</v>
      </c>
    </row>
    <row r="151" spans="1:6">
      <c r="A151" s="2" t="s">
        <v>314</v>
      </c>
      <c r="B151" s="3" t="s">
        <v>342</v>
      </c>
      <c r="C151" s="2" t="s">
        <v>343</v>
      </c>
      <c r="D151" s="2" t="s">
        <v>341</v>
      </c>
      <c r="E151" s="2" t="s">
        <v>318</v>
      </c>
      <c r="F151" s="2" t="s">
        <v>11</v>
      </c>
    </row>
    <row r="152" spans="1:6">
      <c r="A152" s="2" t="s">
        <v>314</v>
      </c>
      <c r="B152" s="5" t="s">
        <v>344</v>
      </c>
      <c r="C152" s="4" t="s">
        <v>345</v>
      </c>
      <c r="D152" s="4" t="s">
        <v>346</v>
      </c>
      <c r="E152" s="4" t="s">
        <v>318</v>
      </c>
      <c r="F152" s="4" t="s">
        <v>11</v>
      </c>
    </row>
    <row r="153" spans="1:6">
      <c r="A153" s="2" t="s">
        <v>314</v>
      </c>
      <c r="B153" s="5" t="s">
        <v>347</v>
      </c>
      <c r="C153" s="4" t="s">
        <v>348</v>
      </c>
      <c r="D153" s="4" t="s">
        <v>346</v>
      </c>
      <c r="E153" s="4" t="s">
        <v>318</v>
      </c>
      <c r="F153" s="4" t="s">
        <v>42</v>
      </c>
    </row>
    <row r="154" spans="1:6">
      <c r="A154" s="2" t="s">
        <v>314</v>
      </c>
      <c r="B154" s="3" t="s">
        <v>349</v>
      </c>
      <c r="C154" s="2" t="s">
        <v>350</v>
      </c>
      <c r="D154" s="2" t="s">
        <v>351</v>
      </c>
      <c r="E154" s="2" t="s">
        <v>318</v>
      </c>
      <c r="F154" s="4" t="s">
        <v>11</v>
      </c>
    </row>
    <row r="155" spans="1:6">
      <c r="A155" s="2" t="s">
        <v>314</v>
      </c>
      <c r="B155" s="5" t="s">
        <v>352</v>
      </c>
      <c r="C155" s="4" t="s">
        <v>353</v>
      </c>
      <c r="D155" s="2" t="s">
        <v>341</v>
      </c>
      <c r="E155" s="4" t="s">
        <v>318</v>
      </c>
      <c r="F155" s="4" t="s">
        <v>11</v>
      </c>
    </row>
    <row r="156" spans="1:6">
      <c r="A156" s="2" t="s">
        <v>314</v>
      </c>
      <c r="B156" s="5" t="s">
        <v>354</v>
      </c>
      <c r="C156" s="4" t="s">
        <v>355</v>
      </c>
      <c r="D156" s="4" t="s">
        <v>356</v>
      </c>
      <c r="E156" s="4" t="s">
        <v>25</v>
      </c>
      <c r="F156" s="4" t="s">
        <v>11</v>
      </c>
    </row>
    <row r="157" spans="1:6">
      <c r="A157" s="2" t="s">
        <v>314</v>
      </c>
      <c r="B157" s="5" t="s">
        <v>354</v>
      </c>
      <c r="C157" s="4" t="s">
        <v>357</v>
      </c>
      <c r="D157" s="2" t="s">
        <v>341</v>
      </c>
      <c r="E157" s="4" t="s">
        <v>234</v>
      </c>
      <c r="F157" s="4" t="s">
        <v>11</v>
      </c>
    </row>
    <row r="158" spans="1:6">
      <c r="A158" s="2" t="s">
        <v>314</v>
      </c>
      <c r="B158" s="5" t="s">
        <v>358</v>
      </c>
      <c r="C158" s="4" t="s">
        <v>359</v>
      </c>
      <c r="D158" s="2" t="s">
        <v>341</v>
      </c>
      <c r="E158" s="4" t="s">
        <v>318</v>
      </c>
      <c r="F158" s="4" t="s">
        <v>11</v>
      </c>
    </row>
    <row r="159" spans="1:6">
      <c r="A159" s="2" t="s">
        <v>314</v>
      </c>
      <c r="B159" s="5" t="s">
        <v>360</v>
      </c>
      <c r="C159" s="4" t="s">
        <v>361</v>
      </c>
      <c r="D159" s="2" t="s">
        <v>346</v>
      </c>
      <c r="E159" s="4" t="s">
        <v>362</v>
      </c>
      <c r="F159" s="4" t="s">
        <v>11</v>
      </c>
    </row>
    <row r="160" spans="1:6">
      <c r="A160" s="2" t="s">
        <v>314</v>
      </c>
      <c r="B160" s="5" t="s">
        <v>363</v>
      </c>
      <c r="C160" s="4" t="s">
        <v>364</v>
      </c>
      <c r="D160" s="4" t="s">
        <v>365</v>
      </c>
      <c r="E160" s="4" t="s">
        <v>318</v>
      </c>
      <c r="F160" s="4" t="s">
        <v>11</v>
      </c>
    </row>
    <row r="161" spans="1:6">
      <c r="A161" s="2" t="s">
        <v>314</v>
      </c>
      <c r="B161" s="5" t="s">
        <v>366</v>
      </c>
      <c r="C161" s="4" t="s">
        <v>367</v>
      </c>
      <c r="D161" s="4" t="s">
        <v>341</v>
      </c>
      <c r="E161" s="4" t="s">
        <v>318</v>
      </c>
      <c r="F161" s="4" t="s">
        <v>11</v>
      </c>
    </row>
    <row r="162" spans="1:6">
      <c r="A162" s="2" t="s">
        <v>314</v>
      </c>
      <c r="B162" s="5" t="s">
        <v>368</v>
      </c>
      <c r="C162" s="4" t="s">
        <v>369</v>
      </c>
      <c r="D162" s="4" t="s">
        <v>365</v>
      </c>
      <c r="E162" s="4" t="s">
        <v>318</v>
      </c>
      <c r="F162" s="4" t="s">
        <v>11</v>
      </c>
    </row>
    <row r="163" spans="1:6">
      <c r="A163" s="2" t="s">
        <v>314</v>
      </c>
      <c r="B163" s="3" t="s">
        <v>370</v>
      </c>
      <c r="C163" s="2" t="s">
        <v>371</v>
      </c>
      <c r="D163" s="2" t="s">
        <v>341</v>
      </c>
      <c r="E163" s="2" t="s">
        <v>318</v>
      </c>
      <c r="F163" s="2" t="s">
        <v>11</v>
      </c>
    </row>
    <row r="164" spans="1:6">
      <c r="A164" s="2" t="s">
        <v>314</v>
      </c>
      <c r="B164" s="3" t="s">
        <v>372</v>
      </c>
      <c r="C164" s="2" t="s">
        <v>373</v>
      </c>
      <c r="D164" s="2" t="s">
        <v>341</v>
      </c>
      <c r="E164" s="2" t="s">
        <v>318</v>
      </c>
      <c r="F164" s="2" t="s">
        <v>11</v>
      </c>
    </row>
    <row r="165" spans="1:6">
      <c r="A165" s="2" t="s">
        <v>314</v>
      </c>
      <c r="B165" s="5" t="s">
        <v>374</v>
      </c>
      <c r="C165" s="4" t="s">
        <v>375</v>
      </c>
      <c r="D165" s="2" t="s">
        <v>341</v>
      </c>
      <c r="E165" s="4" t="s">
        <v>234</v>
      </c>
      <c r="F165" s="2" t="s">
        <v>11</v>
      </c>
    </row>
    <row r="166" spans="1:6">
      <c r="A166" s="2" t="s">
        <v>314</v>
      </c>
      <c r="B166" s="5" t="s">
        <v>376</v>
      </c>
      <c r="C166" s="4" t="s">
        <v>377</v>
      </c>
      <c r="D166" s="4" t="s">
        <v>378</v>
      </c>
      <c r="E166" s="4" t="s">
        <v>10</v>
      </c>
      <c r="F166" s="2" t="s">
        <v>42</v>
      </c>
    </row>
    <row r="167" spans="1:6">
      <c r="A167" s="2" t="s">
        <v>314</v>
      </c>
      <c r="B167" s="5" t="s">
        <v>379</v>
      </c>
      <c r="C167" s="4" t="s">
        <v>380</v>
      </c>
      <c r="D167" s="2" t="s">
        <v>341</v>
      </c>
      <c r="E167" s="4" t="s">
        <v>234</v>
      </c>
      <c r="F167" s="2" t="s">
        <v>11</v>
      </c>
    </row>
    <row r="168" spans="1:6">
      <c r="A168" s="2" t="s">
        <v>314</v>
      </c>
      <c r="B168" s="5" t="s">
        <v>381</v>
      </c>
      <c r="C168" s="4" t="s">
        <v>382</v>
      </c>
      <c r="D168" s="4" t="s">
        <v>378</v>
      </c>
      <c r="E168" s="4" t="s">
        <v>10</v>
      </c>
      <c r="F168" s="4" t="s">
        <v>42</v>
      </c>
    </row>
    <row r="169" spans="1:6">
      <c r="A169" s="2" t="s">
        <v>314</v>
      </c>
      <c r="B169" s="5" t="s">
        <v>383</v>
      </c>
      <c r="C169" s="4" t="s">
        <v>384</v>
      </c>
      <c r="D169" s="4" t="s">
        <v>385</v>
      </c>
      <c r="E169" s="4" t="s">
        <v>318</v>
      </c>
      <c r="F169" s="2" t="s">
        <v>11</v>
      </c>
    </row>
    <row r="170" spans="1:6">
      <c r="A170" s="2" t="s">
        <v>314</v>
      </c>
      <c r="B170" s="3" t="s">
        <v>386</v>
      </c>
      <c r="C170" s="2" t="s">
        <v>387</v>
      </c>
      <c r="D170" s="2" t="s">
        <v>341</v>
      </c>
      <c r="E170" s="2" t="s">
        <v>318</v>
      </c>
      <c r="F170" s="2" t="s">
        <v>11</v>
      </c>
    </row>
    <row r="171" spans="1:6">
      <c r="A171" s="2" t="s">
        <v>314</v>
      </c>
      <c r="B171" s="5" t="s">
        <v>388</v>
      </c>
      <c r="C171" s="4" t="s">
        <v>389</v>
      </c>
      <c r="D171" s="2" t="s">
        <v>341</v>
      </c>
      <c r="E171" s="4" t="s">
        <v>318</v>
      </c>
      <c r="F171" s="2" t="s">
        <v>11</v>
      </c>
    </row>
    <row r="172" spans="1:6">
      <c r="A172" s="2" t="s">
        <v>314</v>
      </c>
      <c r="B172" s="5" t="s">
        <v>390</v>
      </c>
      <c r="C172" s="4" t="s">
        <v>391</v>
      </c>
      <c r="D172" s="4" t="s">
        <v>341</v>
      </c>
      <c r="E172" s="4" t="s">
        <v>318</v>
      </c>
      <c r="F172" s="4" t="s">
        <v>11</v>
      </c>
    </row>
    <row r="173" spans="1:6">
      <c r="A173" s="2" t="s">
        <v>314</v>
      </c>
      <c r="B173" s="5" t="s">
        <v>392</v>
      </c>
      <c r="C173" s="4" t="s">
        <v>393</v>
      </c>
      <c r="D173" s="4" t="s">
        <v>329</v>
      </c>
      <c r="E173" s="4" t="s">
        <v>25</v>
      </c>
      <c r="F173" s="4" t="s">
        <v>11</v>
      </c>
    </row>
    <row r="174" spans="1:6">
      <c r="A174" s="2" t="s">
        <v>314</v>
      </c>
      <c r="B174" s="3" t="s">
        <v>394</v>
      </c>
      <c r="C174" s="2" t="s">
        <v>395</v>
      </c>
      <c r="D174" s="2" t="s">
        <v>396</v>
      </c>
      <c r="E174" s="2" t="s">
        <v>318</v>
      </c>
      <c r="F174" s="2" t="s">
        <v>11</v>
      </c>
    </row>
    <row r="175" spans="1:6">
      <c r="A175" s="2" t="s">
        <v>314</v>
      </c>
      <c r="B175" s="5" t="s">
        <v>397</v>
      </c>
      <c r="C175" s="4" t="s">
        <v>398</v>
      </c>
      <c r="D175" s="4" t="s">
        <v>396</v>
      </c>
      <c r="E175" s="4" t="s">
        <v>318</v>
      </c>
      <c r="F175" s="2" t="s">
        <v>11</v>
      </c>
    </row>
    <row r="176" spans="1:6">
      <c r="A176" s="2" t="s">
        <v>314</v>
      </c>
      <c r="B176" s="5" t="s">
        <v>399</v>
      </c>
      <c r="C176" s="4" t="s">
        <v>400</v>
      </c>
      <c r="D176" s="2" t="s">
        <v>341</v>
      </c>
      <c r="E176" s="4" t="s">
        <v>318</v>
      </c>
      <c r="F176" s="2" t="s">
        <v>11</v>
      </c>
    </row>
    <row r="177" spans="1:6">
      <c r="A177" s="2" t="s">
        <v>314</v>
      </c>
      <c r="B177" s="5" t="s">
        <v>401</v>
      </c>
      <c r="C177" s="4" t="s">
        <v>402</v>
      </c>
      <c r="D177" s="2" t="s">
        <v>341</v>
      </c>
      <c r="E177" s="4" t="s">
        <v>25</v>
      </c>
      <c r="F177" s="2" t="s">
        <v>11</v>
      </c>
    </row>
    <row r="178" spans="1:6">
      <c r="A178" s="2" t="s">
        <v>314</v>
      </c>
      <c r="B178" s="5" t="s">
        <v>403</v>
      </c>
      <c r="C178" s="4" t="s">
        <v>404</v>
      </c>
      <c r="D178" s="4" t="s">
        <v>378</v>
      </c>
      <c r="E178" s="4" t="s">
        <v>10</v>
      </c>
      <c r="F178" s="2" t="s">
        <v>42</v>
      </c>
    </row>
    <row r="179" spans="1:6">
      <c r="A179" s="2" t="s">
        <v>314</v>
      </c>
      <c r="B179" s="5" t="s">
        <v>405</v>
      </c>
      <c r="C179" s="4" t="s">
        <v>406</v>
      </c>
      <c r="D179" s="4" t="s">
        <v>378</v>
      </c>
      <c r="E179" s="4" t="s">
        <v>318</v>
      </c>
      <c r="F179" s="2" t="s">
        <v>11</v>
      </c>
    </row>
    <row r="180" spans="1:6">
      <c r="A180" s="2" t="s">
        <v>314</v>
      </c>
      <c r="B180" s="3" t="s">
        <v>407</v>
      </c>
      <c r="C180" s="2" t="s">
        <v>408</v>
      </c>
      <c r="D180" s="2" t="s">
        <v>409</v>
      </c>
      <c r="E180" s="2" t="s">
        <v>318</v>
      </c>
      <c r="F180" s="4" t="s">
        <v>11</v>
      </c>
    </row>
    <row r="181" spans="1:6">
      <c r="A181" s="2" t="s">
        <v>314</v>
      </c>
      <c r="B181" s="5" t="s">
        <v>410</v>
      </c>
      <c r="C181" s="4" t="s">
        <v>411</v>
      </c>
      <c r="D181" s="2" t="s">
        <v>341</v>
      </c>
      <c r="E181" s="4" t="s">
        <v>234</v>
      </c>
      <c r="F181" s="2" t="s">
        <v>11</v>
      </c>
    </row>
    <row r="182" spans="1:6">
      <c r="A182" s="2" t="s">
        <v>314</v>
      </c>
      <c r="B182" s="5" t="s">
        <v>412</v>
      </c>
      <c r="C182" s="4" t="s">
        <v>413</v>
      </c>
      <c r="D182" s="2" t="s">
        <v>341</v>
      </c>
      <c r="E182" s="4" t="s">
        <v>234</v>
      </c>
      <c r="F182" s="2" t="s">
        <v>11</v>
      </c>
    </row>
    <row r="183" spans="1:6">
      <c r="A183" s="2" t="s">
        <v>314</v>
      </c>
      <c r="B183" s="3" t="s">
        <v>414</v>
      </c>
      <c r="C183" s="2" t="s">
        <v>415</v>
      </c>
      <c r="D183" s="2" t="s">
        <v>341</v>
      </c>
      <c r="E183" s="2" t="s">
        <v>318</v>
      </c>
      <c r="F183" s="2" t="s">
        <v>11</v>
      </c>
    </row>
    <row r="184" spans="1:6">
      <c r="A184" s="2" t="s">
        <v>314</v>
      </c>
      <c r="B184" s="3" t="s">
        <v>416</v>
      </c>
      <c r="C184" s="2" t="s">
        <v>417</v>
      </c>
      <c r="D184" s="2" t="s">
        <v>341</v>
      </c>
      <c r="E184" s="2" t="s">
        <v>318</v>
      </c>
      <c r="F184" s="2" t="s">
        <v>11</v>
      </c>
    </row>
    <row r="185" spans="1:6">
      <c r="A185" s="2" t="s">
        <v>314</v>
      </c>
      <c r="B185" s="5" t="s">
        <v>418</v>
      </c>
      <c r="C185" s="4" t="s">
        <v>419</v>
      </c>
      <c r="D185" s="2" t="s">
        <v>317</v>
      </c>
      <c r="E185" s="4" t="s">
        <v>10</v>
      </c>
      <c r="F185" s="2" t="s">
        <v>42</v>
      </c>
    </row>
    <row r="186" spans="1:6">
      <c r="A186" s="2" t="s">
        <v>314</v>
      </c>
      <c r="B186" s="5" t="s">
        <v>420</v>
      </c>
      <c r="C186" s="4" t="s">
        <v>421</v>
      </c>
      <c r="D186" s="4" t="s">
        <v>351</v>
      </c>
      <c r="E186" s="4" t="s">
        <v>318</v>
      </c>
      <c r="F186" s="2" t="s">
        <v>11</v>
      </c>
    </row>
    <row r="187" spans="1:6">
      <c r="A187" s="2" t="s">
        <v>314</v>
      </c>
      <c r="B187" s="5" t="s">
        <v>422</v>
      </c>
      <c r="C187" s="4" t="s">
        <v>423</v>
      </c>
      <c r="D187" s="2" t="s">
        <v>317</v>
      </c>
      <c r="E187" s="4" t="s">
        <v>25</v>
      </c>
      <c r="F187" s="2" t="s">
        <v>11</v>
      </c>
    </row>
    <row r="188" spans="1:6">
      <c r="A188" s="2" t="s">
        <v>424</v>
      </c>
      <c r="B188" s="3" t="s">
        <v>425</v>
      </c>
      <c r="C188" s="2" t="s">
        <v>426</v>
      </c>
      <c r="D188" s="2" t="s">
        <v>427</v>
      </c>
      <c r="E188" s="2" t="s">
        <v>234</v>
      </c>
      <c r="F188" s="2" t="s">
        <v>11</v>
      </c>
    </row>
    <row r="189" spans="1:6">
      <c r="A189" s="2" t="s">
        <v>424</v>
      </c>
      <c r="B189" s="3" t="s">
        <v>428</v>
      </c>
      <c r="C189" s="2" t="s">
        <v>429</v>
      </c>
      <c r="D189" s="2" t="s">
        <v>427</v>
      </c>
      <c r="E189" s="2" t="s">
        <v>25</v>
      </c>
      <c r="F189" s="2" t="s">
        <v>11</v>
      </c>
    </row>
    <row r="190" spans="1:6">
      <c r="A190" s="2" t="s">
        <v>424</v>
      </c>
      <c r="B190" s="3" t="s">
        <v>430</v>
      </c>
      <c r="C190" s="2" t="s">
        <v>431</v>
      </c>
      <c r="D190" s="2" t="s">
        <v>432</v>
      </c>
      <c r="E190" s="2" t="s">
        <v>10</v>
      </c>
      <c r="F190" s="2" t="s">
        <v>11</v>
      </c>
    </row>
    <row r="191" spans="1:6">
      <c r="A191" s="2" t="s">
        <v>424</v>
      </c>
      <c r="B191" s="3" t="s">
        <v>433</v>
      </c>
      <c r="C191" s="2" t="s">
        <v>434</v>
      </c>
      <c r="D191" s="2" t="s">
        <v>432</v>
      </c>
      <c r="E191" s="2" t="s">
        <v>25</v>
      </c>
      <c r="F191" s="2" t="s">
        <v>11</v>
      </c>
    </row>
    <row r="192" spans="1:6">
      <c r="A192" s="2" t="s">
        <v>424</v>
      </c>
      <c r="B192" s="3" t="s">
        <v>435</v>
      </c>
      <c r="C192" s="2" t="s">
        <v>436</v>
      </c>
      <c r="D192" s="2" t="s">
        <v>436</v>
      </c>
      <c r="E192" s="2" t="s">
        <v>10</v>
      </c>
      <c r="F192" s="2" t="s">
        <v>11</v>
      </c>
    </row>
    <row r="193" spans="1:6">
      <c r="A193" s="2" t="s">
        <v>424</v>
      </c>
      <c r="B193" s="3" t="s">
        <v>437</v>
      </c>
      <c r="C193" s="2" t="s">
        <v>438</v>
      </c>
      <c r="D193" s="2" t="s">
        <v>432</v>
      </c>
      <c r="E193" s="2" t="s">
        <v>10</v>
      </c>
      <c r="F193" s="2" t="s">
        <v>11</v>
      </c>
    </row>
    <row r="194" spans="1:6">
      <c r="A194" s="2" t="s">
        <v>424</v>
      </c>
      <c r="B194" s="3" t="s">
        <v>439</v>
      </c>
      <c r="C194" s="2" t="s">
        <v>440</v>
      </c>
      <c r="D194" s="2" t="s">
        <v>432</v>
      </c>
      <c r="E194" s="2" t="s">
        <v>10</v>
      </c>
      <c r="F194" s="2" t="s">
        <v>11</v>
      </c>
    </row>
    <row r="195" spans="1:6">
      <c r="A195" s="2" t="s">
        <v>424</v>
      </c>
      <c r="B195" s="3" t="s">
        <v>439</v>
      </c>
      <c r="C195" s="2" t="s">
        <v>441</v>
      </c>
      <c r="D195" s="2" t="s">
        <v>432</v>
      </c>
      <c r="E195" s="2" t="s">
        <v>10</v>
      </c>
      <c r="F195" s="2" t="s">
        <v>11</v>
      </c>
    </row>
    <row r="196" spans="1:6">
      <c r="A196" s="2" t="s">
        <v>424</v>
      </c>
      <c r="B196" s="3" t="s">
        <v>439</v>
      </c>
      <c r="C196" s="2" t="s">
        <v>442</v>
      </c>
      <c r="D196" s="2" t="s">
        <v>432</v>
      </c>
      <c r="E196" s="2" t="s">
        <v>10</v>
      </c>
      <c r="F196" s="2" t="s">
        <v>11</v>
      </c>
    </row>
    <row r="197" spans="1:6">
      <c r="A197" s="2" t="s">
        <v>424</v>
      </c>
      <c r="B197" s="3" t="s">
        <v>443</v>
      </c>
      <c r="C197" s="2" t="s">
        <v>444</v>
      </c>
      <c r="D197" s="2" t="s">
        <v>432</v>
      </c>
      <c r="E197" s="2" t="s">
        <v>25</v>
      </c>
      <c r="F197" s="2" t="s">
        <v>11</v>
      </c>
    </row>
    <row r="198" spans="1:6">
      <c r="A198" s="2" t="s">
        <v>424</v>
      </c>
      <c r="B198" s="3" t="s">
        <v>445</v>
      </c>
      <c r="C198" s="2" t="s">
        <v>446</v>
      </c>
      <c r="D198" s="2" t="s">
        <v>432</v>
      </c>
      <c r="E198" s="2" t="s">
        <v>10</v>
      </c>
      <c r="F198" s="2" t="s">
        <v>11</v>
      </c>
    </row>
    <row r="199" spans="1:6">
      <c r="A199" s="2" t="s">
        <v>424</v>
      </c>
      <c r="B199" s="3" t="s">
        <v>447</v>
      </c>
      <c r="C199" s="2" t="s">
        <v>448</v>
      </c>
      <c r="D199" s="2" t="s">
        <v>432</v>
      </c>
      <c r="E199" s="2" t="s">
        <v>10</v>
      </c>
      <c r="F199" s="2" t="s">
        <v>11</v>
      </c>
    </row>
    <row r="200" spans="1:6">
      <c r="A200" s="2" t="s">
        <v>424</v>
      </c>
      <c r="B200" s="3" t="s">
        <v>449</v>
      </c>
      <c r="C200" s="2" t="s">
        <v>450</v>
      </c>
      <c r="D200" s="2" t="s">
        <v>432</v>
      </c>
      <c r="E200" s="2" t="s">
        <v>10</v>
      </c>
      <c r="F200" s="2" t="s">
        <v>11</v>
      </c>
    </row>
    <row r="201" spans="1:6">
      <c r="A201" s="2" t="s">
        <v>424</v>
      </c>
      <c r="B201" s="3" t="s">
        <v>451</v>
      </c>
      <c r="C201" s="2" t="s">
        <v>452</v>
      </c>
      <c r="D201" s="2" t="s">
        <v>432</v>
      </c>
      <c r="E201" s="2" t="s">
        <v>10</v>
      </c>
      <c r="F201" s="2" t="s">
        <v>11</v>
      </c>
    </row>
    <row r="202" spans="1:6">
      <c r="A202" s="2" t="s">
        <v>424</v>
      </c>
      <c r="B202" s="3" t="s">
        <v>453</v>
      </c>
      <c r="C202" s="2" t="s">
        <v>454</v>
      </c>
      <c r="D202" s="2" t="s">
        <v>432</v>
      </c>
      <c r="E202" s="2" t="s">
        <v>10</v>
      </c>
      <c r="F202" s="2" t="s">
        <v>455</v>
      </c>
    </row>
    <row r="203" spans="1:6">
      <c r="A203" s="2" t="s">
        <v>424</v>
      </c>
      <c r="B203" s="3" t="s">
        <v>456</v>
      </c>
      <c r="C203" s="2" t="s">
        <v>448</v>
      </c>
      <c r="D203" s="2" t="s">
        <v>432</v>
      </c>
      <c r="E203" s="2" t="s">
        <v>10</v>
      </c>
      <c r="F203" s="2" t="s">
        <v>11</v>
      </c>
    </row>
    <row r="204" spans="1:6">
      <c r="A204" s="2" t="s">
        <v>424</v>
      </c>
      <c r="B204" s="3" t="s">
        <v>457</v>
      </c>
      <c r="C204" s="2" t="s">
        <v>458</v>
      </c>
      <c r="D204" s="2" t="s">
        <v>432</v>
      </c>
      <c r="E204" s="2" t="s">
        <v>10</v>
      </c>
      <c r="F204" s="2" t="s">
        <v>455</v>
      </c>
    </row>
    <row r="205" spans="1:6">
      <c r="A205" s="2" t="s">
        <v>424</v>
      </c>
      <c r="B205" s="3" t="s">
        <v>459</v>
      </c>
      <c r="C205" s="2" t="s">
        <v>460</v>
      </c>
      <c r="D205" s="2" t="s">
        <v>432</v>
      </c>
      <c r="E205" s="2" t="s">
        <v>10</v>
      </c>
      <c r="F205" s="2" t="s">
        <v>455</v>
      </c>
    </row>
    <row r="206" spans="1:6">
      <c r="A206" s="2" t="s">
        <v>424</v>
      </c>
      <c r="B206" s="3" t="s">
        <v>461</v>
      </c>
      <c r="C206" s="2" t="s">
        <v>462</v>
      </c>
      <c r="D206" s="2" t="s">
        <v>432</v>
      </c>
      <c r="E206" s="2" t="s">
        <v>10</v>
      </c>
      <c r="F206" s="2" t="s">
        <v>11</v>
      </c>
    </row>
    <row r="207" spans="1:6">
      <c r="A207" s="2" t="s">
        <v>424</v>
      </c>
      <c r="B207" s="3" t="s">
        <v>463</v>
      </c>
      <c r="C207" s="2" t="s">
        <v>464</v>
      </c>
      <c r="D207" s="2" t="s">
        <v>427</v>
      </c>
      <c r="E207" s="2" t="s">
        <v>25</v>
      </c>
      <c r="F207" s="2" t="s">
        <v>11</v>
      </c>
    </row>
    <row r="208" spans="1:6">
      <c r="A208" s="2" t="s">
        <v>424</v>
      </c>
      <c r="B208" s="3" t="s">
        <v>465</v>
      </c>
      <c r="C208" s="2" t="s">
        <v>466</v>
      </c>
      <c r="D208" s="2" t="s">
        <v>467</v>
      </c>
      <c r="E208" s="2" t="s">
        <v>25</v>
      </c>
      <c r="F208" s="2" t="s">
        <v>11</v>
      </c>
    </row>
    <row r="209" spans="1:6">
      <c r="A209" s="2" t="s">
        <v>424</v>
      </c>
      <c r="B209" s="3" t="s">
        <v>468</v>
      </c>
      <c r="C209" s="2" t="s">
        <v>469</v>
      </c>
      <c r="D209" s="2" t="s">
        <v>467</v>
      </c>
      <c r="E209" s="2" t="s">
        <v>10</v>
      </c>
      <c r="F209" s="2" t="s">
        <v>11</v>
      </c>
    </row>
    <row r="210" spans="1:6">
      <c r="A210" s="2" t="s">
        <v>424</v>
      </c>
      <c r="B210" s="3" t="s">
        <v>470</v>
      </c>
      <c r="C210" s="2" t="s">
        <v>471</v>
      </c>
      <c r="D210" s="2" t="s">
        <v>467</v>
      </c>
      <c r="E210" s="2" t="s">
        <v>10</v>
      </c>
      <c r="F210" s="2" t="s">
        <v>11</v>
      </c>
    </row>
    <row r="211" spans="1:6">
      <c r="A211" s="2" t="s">
        <v>424</v>
      </c>
      <c r="B211" s="3" t="s">
        <v>472</v>
      </c>
      <c r="C211" s="2" t="s">
        <v>473</v>
      </c>
      <c r="D211" s="2" t="s">
        <v>432</v>
      </c>
      <c r="E211" s="2" t="s">
        <v>25</v>
      </c>
      <c r="F211" s="2" t="s">
        <v>11</v>
      </c>
    </row>
    <row r="212" spans="1:6">
      <c r="A212" s="2" t="s">
        <v>424</v>
      </c>
      <c r="B212" s="3" t="s">
        <v>474</v>
      </c>
      <c r="C212" s="2" t="s">
        <v>475</v>
      </c>
      <c r="D212" s="2" t="s">
        <v>432</v>
      </c>
      <c r="E212" s="2" t="s">
        <v>25</v>
      </c>
      <c r="F212" s="2" t="s">
        <v>11</v>
      </c>
    </row>
    <row r="213" spans="1:6">
      <c r="A213" s="2" t="s">
        <v>424</v>
      </c>
      <c r="B213" s="3" t="s">
        <v>476</v>
      </c>
      <c r="C213" s="2" t="s">
        <v>477</v>
      </c>
      <c r="D213" s="2" t="s">
        <v>432</v>
      </c>
      <c r="E213" s="2" t="s">
        <v>25</v>
      </c>
      <c r="F213" s="2" t="s">
        <v>11</v>
      </c>
    </row>
    <row r="214" spans="1:6">
      <c r="A214" s="2" t="s">
        <v>424</v>
      </c>
      <c r="B214" s="3" t="s">
        <v>478</v>
      </c>
      <c r="C214" s="2" t="s">
        <v>479</v>
      </c>
      <c r="D214" s="2" t="s">
        <v>432</v>
      </c>
      <c r="E214" s="2" t="s">
        <v>10</v>
      </c>
      <c r="F214" s="2" t="s">
        <v>11</v>
      </c>
    </row>
    <row r="215" spans="1:6">
      <c r="A215" s="2" t="s">
        <v>424</v>
      </c>
      <c r="B215" s="3" t="s">
        <v>480</v>
      </c>
      <c r="C215" s="2" t="s">
        <v>481</v>
      </c>
      <c r="D215" s="2" t="s">
        <v>432</v>
      </c>
      <c r="E215" s="2" t="s">
        <v>10</v>
      </c>
      <c r="F215" s="2" t="s">
        <v>11</v>
      </c>
    </row>
    <row r="216" spans="1:6">
      <c r="A216" s="2" t="s">
        <v>424</v>
      </c>
      <c r="B216" s="3" t="s">
        <v>482</v>
      </c>
      <c r="C216" s="2" t="s">
        <v>483</v>
      </c>
      <c r="D216" s="2" t="s">
        <v>432</v>
      </c>
      <c r="E216" s="2" t="s">
        <v>10</v>
      </c>
      <c r="F216" s="2" t="s">
        <v>455</v>
      </c>
    </row>
    <row r="217" spans="1:6">
      <c r="A217" s="2" t="s">
        <v>424</v>
      </c>
      <c r="B217" s="3" t="s">
        <v>484</v>
      </c>
      <c r="C217" s="2" t="s">
        <v>485</v>
      </c>
      <c r="D217" s="2" t="s">
        <v>486</v>
      </c>
      <c r="E217" s="2" t="s">
        <v>487</v>
      </c>
      <c r="F217" s="2" t="s">
        <v>11</v>
      </c>
    </row>
    <row r="218" spans="1:6">
      <c r="A218" s="2" t="s">
        <v>424</v>
      </c>
      <c r="B218" s="3" t="s">
        <v>488</v>
      </c>
      <c r="C218" s="2" t="s">
        <v>489</v>
      </c>
      <c r="D218" s="2" t="s">
        <v>432</v>
      </c>
      <c r="E218" s="2" t="s">
        <v>10</v>
      </c>
      <c r="F218" s="2" t="s">
        <v>11</v>
      </c>
    </row>
    <row r="219" spans="1:6">
      <c r="A219" s="2" t="s">
        <v>424</v>
      </c>
      <c r="B219" s="3" t="s">
        <v>490</v>
      </c>
      <c r="C219" s="2" t="s">
        <v>491</v>
      </c>
      <c r="D219" s="2" t="s">
        <v>432</v>
      </c>
      <c r="E219" s="2" t="s">
        <v>10</v>
      </c>
      <c r="F219" s="2" t="s">
        <v>455</v>
      </c>
    </row>
    <row r="220" spans="1:6">
      <c r="A220" s="2" t="s">
        <v>424</v>
      </c>
      <c r="B220" s="3" t="s">
        <v>492</v>
      </c>
      <c r="C220" s="2" t="s">
        <v>493</v>
      </c>
      <c r="D220" s="2" t="s">
        <v>432</v>
      </c>
      <c r="E220" s="2" t="s">
        <v>10</v>
      </c>
      <c r="F220" s="2" t="s">
        <v>11</v>
      </c>
    </row>
    <row r="221" spans="1:6">
      <c r="A221" s="2" t="s">
        <v>424</v>
      </c>
      <c r="B221" s="3" t="s">
        <v>494</v>
      </c>
      <c r="C221" s="2" t="s">
        <v>495</v>
      </c>
      <c r="D221" s="2" t="s">
        <v>427</v>
      </c>
      <c r="E221" s="2" t="s">
        <v>10</v>
      </c>
      <c r="F221" s="2" t="s">
        <v>455</v>
      </c>
    </row>
    <row r="222" spans="1:6">
      <c r="A222" s="2" t="s">
        <v>424</v>
      </c>
      <c r="B222" s="3" t="s">
        <v>496</v>
      </c>
      <c r="C222" s="2" t="s">
        <v>497</v>
      </c>
      <c r="D222" s="2" t="s">
        <v>432</v>
      </c>
      <c r="E222" s="2" t="s">
        <v>10</v>
      </c>
      <c r="F222" s="2" t="s">
        <v>455</v>
      </c>
    </row>
    <row r="223" spans="1:6">
      <c r="A223" s="2" t="s">
        <v>424</v>
      </c>
      <c r="B223" s="3" t="s">
        <v>498</v>
      </c>
      <c r="C223" s="2" t="s">
        <v>499</v>
      </c>
      <c r="D223" s="2" t="s">
        <v>432</v>
      </c>
      <c r="E223" s="2" t="s">
        <v>10</v>
      </c>
      <c r="F223" s="2" t="s">
        <v>11</v>
      </c>
    </row>
    <row r="224" spans="1:6">
      <c r="A224" s="2" t="s">
        <v>424</v>
      </c>
      <c r="B224" s="3" t="s">
        <v>500</v>
      </c>
      <c r="C224" s="2" t="s">
        <v>501</v>
      </c>
      <c r="D224" s="2" t="s">
        <v>432</v>
      </c>
      <c r="E224" s="2" t="s">
        <v>10</v>
      </c>
      <c r="F224" s="2" t="s">
        <v>11</v>
      </c>
    </row>
    <row r="225" spans="1:6">
      <c r="A225" s="2" t="s">
        <v>424</v>
      </c>
      <c r="B225" s="3" t="s">
        <v>502</v>
      </c>
      <c r="C225" s="2" t="s">
        <v>503</v>
      </c>
      <c r="D225" s="2" t="s">
        <v>427</v>
      </c>
      <c r="E225" s="2" t="s">
        <v>25</v>
      </c>
      <c r="F225" s="2" t="s">
        <v>11</v>
      </c>
    </row>
    <row r="226" spans="1:6">
      <c r="A226" s="2" t="s">
        <v>424</v>
      </c>
      <c r="B226" s="3" t="s">
        <v>504</v>
      </c>
      <c r="C226" s="2" t="s">
        <v>505</v>
      </c>
      <c r="D226" s="2" t="s">
        <v>432</v>
      </c>
      <c r="E226" s="2" t="s">
        <v>25</v>
      </c>
      <c r="F226" s="2" t="s">
        <v>11</v>
      </c>
    </row>
    <row r="227" spans="1:6">
      <c r="A227" s="2" t="s">
        <v>424</v>
      </c>
      <c r="B227" s="3" t="s">
        <v>506</v>
      </c>
      <c r="C227" s="2" t="s">
        <v>507</v>
      </c>
      <c r="D227" s="2" t="s">
        <v>432</v>
      </c>
      <c r="E227" s="2" t="s">
        <v>10</v>
      </c>
      <c r="F227" s="2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J22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2" width="14.42578125" customWidth="1"/>
    <col min="3" max="3" width="24" customWidth="1"/>
    <col min="4" max="4" width="30" customWidth="1"/>
    <col min="5" max="5" width="21.42578125" customWidth="1"/>
    <col min="6" max="9" width="19.42578125" customWidth="1"/>
    <col min="10" max="10" width="79.42578125" customWidth="1"/>
  </cols>
  <sheetData>
    <row r="1" spans="1:10" ht="15">
      <c r="A1" s="6" t="s">
        <v>508</v>
      </c>
      <c r="B1" s="1" t="s">
        <v>0</v>
      </c>
      <c r="C1" s="1" t="s">
        <v>1</v>
      </c>
      <c r="D1" s="7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</row>
    <row r="2" spans="1:10" ht="12.75" hidden="1">
      <c r="A2" s="2" t="s">
        <v>509</v>
      </c>
      <c r="B2" s="2" t="s">
        <v>6</v>
      </c>
      <c r="C2" s="3" t="s">
        <v>7</v>
      </c>
      <c r="D2" s="8" t="s">
        <v>510</v>
      </c>
      <c r="E2" s="2" t="s">
        <v>9</v>
      </c>
      <c r="F2" s="2" t="s">
        <v>10</v>
      </c>
      <c r="G2" s="2" t="s">
        <v>11</v>
      </c>
      <c r="H2" s="9" t="str">
        <f t="shared" ref="H2:H3" si="0">"(" &amp;D2&amp; ")"</f>
        <v>(Piaya cayana)</v>
      </c>
      <c r="I2" s="2" t="s">
        <v>511</v>
      </c>
      <c r="J2" s="2" t="str">
        <f t="shared" ref="J2:J227" si="1">CONCATENATE(C2,I2,H2)</f>
        <v>Alma de Gato - (Piaya cayana)</v>
      </c>
    </row>
    <row r="3" spans="1:10" ht="12.75" hidden="1">
      <c r="A3" s="2" t="s">
        <v>512</v>
      </c>
      <c r="B3" s="2" t="s">
        <v>6</v>
      </c>
      <c r="C3" s="3" t="s">
        <v>12</v>
      </c>
      <c r="D3" s="8" t="s">
        <v>13</v>
      </c>
      <c r="E3" s="2" t="s">
        <v>14</v>
      </c>
      <c r="F3" s="2" t="s">
        <v>10</v>
      </c>
      <c r="G3" s="2" t="s">
        <v>11</v>
      </c>
      <c r="H3" s="9" t="str">
        <f t="shared" si="0"/>
        <v>(Tyrannus savana)</v>
      </c>
      <c r="I3" s="2" t="s">
        <v>511</v>
      </c>
      <c r="J3" s="2" t="str">
        <f t="shared" si="1"/>
        <v>Andorinha - (Tyrannus savana)</v>
      </c>
    </row>
    <row r="4" spans="1:10" ht="12.75" hidden="1">
      <c r="A4" s="2" t="s">
        <v>513</v>
      </c>
      <c r="B4" s="2" t="s">
        <v>6</v>
      </c>
      <c r="C4" s="3" t="s">
        <v>15</v>
      </c>
      <c r="D4" s="8" t="s">
        <v>16</v>
      </c>
      <c r="E4" s="2" t="s">
        <v>9</v>
      </c>
      <c r="F4" s="2" t="s">
        <v>10</v>
      </c>
      <c r="G4" s="2" t="s">
        <v>11</v>
      </c>
      <c r="H4" s="9" t="str">
        <f t="shared" ref="H4:H227" si="2">"("&amp;D4&amp;")"</f>
        <v>(Guira guira)</v>
      </c>
      <c r="I4" s="2" t="s">
        <v>511</v>
      </c>
      <c r="J4" s="2" t="str">
        <f t="shared" si="1"/>
        <v>Anu Branco - (Guira guira)</v>
      </c>
    </row>
    <row r="5" spans="1:10" ht="12.75" hidden="1">
      <c r="A5" s="2" t="s">
        <v>514</v>
      </c>
      <c r="B5" s="2" t="s">
        <v>6</v>
      </c>
      <c r="C5" s="3" t="s">
        <v>17</v>
      </c>
      <c r="D5" s="8" t="s">
        <v>18</v>
      </c>
      <c r="E5" s="2" t="s">
        <v>9</v>
      </c>
      <c r="F5" s="2" t="s">
        <v>10</v>
      </c>
      <c r="G5" s="2" t="s">
        <v>11</v>
      </c>
      <c r="H5" s="9" t="str">
        <f t="shared" si="2"/>
        <v>(Crotophaga ani)</v>
      </c>
      <c r="I5" s="2" t="s">
        <v>511</v>
      </c>
      <c r="J5" s="2" t="str">
        <f t="shared" si="1"/>
        <v>Anu Preto - (Crotophaga ani)</v>
      </c>
    </row>
    <row r="6" spans="1:10" ht="12.75" hidden="1">
      <c r="A6" s="2" t="s">
        <v>515</v>
      </c>
      <c r="B6" s="2" t="s">
        <v>6</v>
      </c>
      <c r="C6" s="3" t="s">
        <v>19</v>
      </c>
      <c r="D6" s="8" t="s">
        <v>20</v>
      </c>
      <c r="E6" s="2" t="s">
        <v>21</v>
      </c>
      <c r="F6" s="2" t="s">
        <v>10</v>
      </c>
      <c r="G6" s="2" t="s">
        <v>11</v>
      </c>
      <c r="H6" s="9" t="str">
        <f t="shared" si="2"/>
        <v>(Pteroglossus castanotis)</v>
      </c>
      <c r="I6" s="2" t="s">
        <v>511</v>
      </c>
      <c r="J6" s="2" t="str">
        <f t="shared" si="1"/>
        <v>Araçari Castanho - (Pteroglossus castanotis)</v>
      </c>
    </row>
    <row r="7" spans="1:10" ht="12.75" hidden="1">
      <c r="A7" s="2" t="s">
        <v>516</v>
      </c>
      <c r="B7" s="2" t="s">
        <v>6</v>
      </c>
      <c r="C7" s="3" t="s">
        <v>22</v>
      </c>
      <c r="D7" s="8" t="s">
        <v>23</v>
      </c>
      <c r="E7" s="2" t="s">
        <v>24</v>
      </c>
      <c r="F7" s="2" t="s">
        <v>25</v>
      </c>
      <c r="G7" s="2" t="s">
        <v>11</v>
      </c>
      <c r="H7" s="9" t="str">
        <f t="shared" si="2"/>
        <v>(Ara ararauna)</v>
      </c>
      <c r="I7" s="2" t="s">
        <v>511</v>
      </c>
      <c r="J7" s="2" t="str">
        <f t="shared" si="1"/>
        <v>Arara Canindé - (Ara ararauna)</v>
      </c>
    </row>
    <row r="8" spans="1:10" ht="12.75" hidden="1">
      <c r="A8" s="2" t="s">
        <v>517</v>
      </c>
      <c r="B8" s="2" t="s">
        <v>6</v>
      </c>
      <c r="C8" s="3" t="s">
        <v>26</v>
      </c>
      <c r="D8" s="8" t="s">
        <v>27</v>
      </c>
      <c r="E8" s="2" t="s">
        <v>24</v>
      </c>
      <c r="F8" s="2" t="s">
        <v>25</v>
      </c>
      <c r="G8" s="2" t="s">
        <v>11</v>
      </c>
      <c r="H8" s="9" t="str">
        <f t="shared" si="2"/>
        <v>(Primolius maracanA)</v>
      </c>
      <c r="I8" s="2" t="s">
        <v>511</v>
      </c>
      <c r="J8" s="2" t="str">
        <f t="shared" si="1"/>
        <v>Arara Maracanã - (Primolius maracanA)</v>
      </c>
    </row>
    <row r="9" spans="1:10" ht="12.75" hidden="1">
      <c r="A9" s="2" t="s">
        <v>518</v>
      </c>
      <c r="B9" s="2" t="s">
        <v>6</v>
      </c>
      <c r="C9" s="3" t="s">
        <v>28</v>
      </c>
      <c r="D9" s="8" t="s">
        <v>29</v>
      </c>
      <c r="E9" s="2" t="s">
        <v>14</v>
      </c>
      <c r="F9" s="2" t="s">
        <v>10</v>
      </c>
      <c r="G9" s="2" t="s">
        <v>11</v>
      </c>
      <c r="H9" s="9" t="str">
        <f t="shared" si="2"/>
        <v>(Cyanocompsa brissonii)</v>
      </c>
      <c r="I9" s="2" t="s">
        <v>511</v>
      </c>
      <c r="J9" s="2" t="str">
        <f t="shared" si="1"/>
        <v>Azulão - (Cyanocompsa brissonii)</v>
      </c>
    </row>
    <row r="10" spans="1:10" ht="12.75" hidden="1">
      <c r="A10" s="2" t="s">
        <v>519</v>
      </c>
      <c r="B10" s="2" t="s">
        <v>6</v>
      </c>
      <c r="C10" s="3" t="s">
        <v>30</v>
      </c>
      <c r="D10" s="8" t="s">
        <v>31</v>
      </c>
      <c r="E10" s="2" t="s">
        <v>32</v>
      </c>
      <c r="F10" s="2" t="s">
        <v>10</v>
      </c>
      <c r="G10" s="2" t="s">
        <v>11</v>
      </c>
      <c r="H10" s="9" t="str">
        <f t="shared" si="2"/>
        <v>(Nyctidromus albicollis)</v>
      </c>
      <c r="I10" s="2" t="s">
        <v>511</v>
      </c>
      <c r="J10" s="2" t="str">
        <f t="shared" si="1"/>
        <v>Bacurau - (Nyctidromus albicollis)</v>
      </c>
    </row>
    <row r="11" spans="1:10" ht="12.75" hidden="1">
      <c r="A11" s="2" t="s">
        <v>520</v>
      </c>
      <c r="B11" s="2" t="s">
        <v>6</v>
      </c>
      <c r="C11" s="3" t="s">
        <v>33</v>
      </c>
      <c r="D11" s="8" t="s">
        <v>34</v>
      </c>
      <c r="E11" s="2" t="s">
        <v>14</v>
      </c>
      <c r="F11" s="2" t="s">
        <v>10</v>
      </c>
      <c r="G11" s="2" t="s">
        <v>11</v>
      </c>
      <c r="H11" s="9" t="str">
        <f t="shared" si="2"/>
        <v>(Sporophila nigricollis)</v>
      </c>
      <c r="I11" s="2" t="s">
        <v>511</v>
      </c>
      <c r="J11" s="2" t="str">
        <f t="shared" si="1"/>
        <v>Baiano - (Sporophila nigricollis)</v>
      </c>
    </row>
    <row r="12" spans="1:10" ht="12.75" hidden="1">
      <c r="A12" s="2" t="s">
        <v>521</v>
      </c>
      <c r="B12" s="2" t="s">
        <v>6</v>
      </c>
      <c r="C12" s="3" t="s">
        <v>35</v>
      </c>
      <c r="D12" s="8" t="s">
        <v>36</v>
      </c>
      <c r="E12" s="2" t="s">
        <v>37</v>
      </c>
      <c r="F12" s="2" t="s">
        <v>10</v>
      </c>
      <c r="G12" s="2" t="s">
        <v>11</v>
      </c>
      <c r="H12" s="9" t="str">
        <f t="shared" si="2"/>
        <v>(Florisuga fusca)</v>
      </c>
      <c r="I12" s="2" t="s">
        <v>511</v>
      </c>
      <c r="J12" s="2" t="str">
        <f t="shared" si="1"/>
        <v>Beija Flor - (Florisuga fusca)</v>
      </c>
    </row>
    <row r="13" spans="1:10" ht="12.75" hidden="1">
      <c r="A13" s="2" t="s">
        <v>522</v>
      </c>
      <c r="B13" s="2" t="s">
        <v>6</v>
      </c>
      <c r="C13" s="3" t="s">
        <v>38</v>
      </c>
      <c r="D13" s="8" t="s">
        <v>39</v>
      </c>
      <c r="E13" s="2" t="s">
        <v>14</v>
      </c>
      <c r="F13" s="2" t="s">
        <v>10</v>
      </c>
      <c r="G13" s="2" t="s">
        <v>11</v>
      </c>
      <c r="H13" s="9" t="str">
        <f t="shared" si="2"/>
        <v>(Pitangus sulphuratus)</v>
      </c>
      <c r="I13" s="2" t="s">
        <v>511</v>
      </c>
      <c r="J13" s="2" t="str">
        <f t="shared" si="1"/>
        <v>Bem Te Vi - (Pitangus sulphuratus)</v>
      </c>
    </row>
    <row r="14" spans="1:10" ht="12.75" hidden="1">
      <c r="A14" s="2" t="s">
        <v>523</v>
      </c>
      <c r="B14" s="2" t="s">
        <v>6</v>
      </c>
      <c r="C14" s="3" t="s">
        <v>40</v>
      </c>
      <c r="D14" s="8" t="s">
        <v>41</v>
      </c>
      <c r="E14" s="2" t="s">
        <v>14</v>
      </c>
      <c r="F14" s="2" t="s">
        <v>10</v>
      </c>
      <c r="G14" s="2" t="s">
        <v>42</v>
      </c>
      <c r="H14" s="9" t="str">
        <f t="shared" si="2"/>
        <v>(Estrilda astrild)</v>
      </c>
      <c r="I14" s="2" t="s">
        <v>511</v>
      </c>
      <c r="J14" s="2" t="str">
        <f t="shared" si="1"/>
        <v>Bico de Lacre - (Estrilda astrild)</v>
      </c>
    </row>
    <row r="15" spans="1:10" ht="12.75" hidden="1">
      <c r="A15" s="2" t="s">
        <v>524</v>
      </c>
      <c r="B15" s="2" t="s">
        <v>6</v>
      </c>
      <c r="C15" s="3" t="s">
        <v>43</v>
      </c>
      <c r="D15" s="8" t="s">
        <v>44</v>
      </c>
      <c r="E15" s="2" t="s">
        <v>14</v>
      </c>
      <c r="F15" s="2" t="s">
        <v>10</v>
      </c>
      <c r="G15" s="2" t="s">
        <v>11</v>
      </c>
      <c r="H15" s="9" t="str">
        <f t="shared" si="2"/>
        <v>(Saltator fuliginosus)</v>
      </c>
      <c r="I15" s="2" t="s">
        <v>511</v>
      </c>
      <c r="J15" s="2" t="str">
        <f t="shared" si="1"/>
        <v>Bico de Pimenta - (Saltator fuliginosus)</v>
      </c>
    </row>
    <row r="16" spans="1:10" ht="12.75" hidden="1">
      <c r="A16" s="2" t="s">
        <v>525</v>
      </c>
      <c r="B16" s="2" t="s">
        <v>6</v>
      </c>
      <c r="C16" s="3" t="s">
        <v>45</v>
      </c>
      <c r="D16" s="8" t="s">
        <v>46</v>
      </c>
      <c r="E16" s="2" t="s">
        <v>14</v>
      </c>
      <c r="F16" s="2" t="s">
        <v>10</v>
      </c>
      <c r="G16" s="2" t="s">
        <v>11</v>
      </c>
      <c r="H16" s="9" t="str">
        <f t="shared" si="2"/>
        <v>(Oryzoborus maximiliani)</v>
      </c>
      <c r="I16" s="2" t="s">
        <v>511</v>
      </c>
      <c r="J16" s="2" t="str">
        <f t="shared" si="1"/>
        <v>Bicudo Verdadeiro - (Oryzoborus maximiliani)</v>
      </c>
    </row>
    <row r="17" spans="1:10" ht="12.75" hidden="1">
      <c r="A17" s="2" t="s">
        <v>526</v>
      </c>
      <c r="B17" s="2" t="s">
        <v>6</v>
      </c>
      <c r="C17" s="3" t="s">
        <v>47</v>
      </c>
      <c r="D17" s="8" t="s">
        <v>48</v>
      </c>
      <c r="E17" s="2" t="s">
        <v>14</v>
      </c>
      <c r="F17" s="2" t="s">
        <v>10</v>
      </c>
      <c r="G17" s="2" t="s">
        <v>11</v>
      </c>
      <c r="H17" s="9" t="str">
        <f t="shared" si="2"/>
        <v>(Sporophila lineola)</v>
      </c>
      <c r="I17" s="2" t="s">
        <v>511</v>
      </c>
      <c r="J17" s="2" t="str">
        <f t="shared" si="1"/>
        <v>Bigodinho - (Sporophila lineola)</v>
      </c>
    </row>
    <row r="18" spans="1:10" ht="12.75" hidden="1">
      <c r="A18" s="2" t="s">
        <v>527</v>
      </c>
      <c r="B18" s="2" t="s">
        <v>6</v>
      </c>
      <c r="C18" s="3" t="s">
        <v>49</v>
      </c>
      <c r="D18" s="8" t="s">
        <v>50</v>
      </c>
      <c r="E18" s="2" t="s">
        <v>51</v>
      </c>
      <c r="F18" s="2" t="s">
        <v>10</v>
      </c>
      <c r="G18" s="2" t="s">
        <v>11</v>
      </c>
      <c r="H18" s="9" t="str">
        <f t="shared" si="2"/>
        <v>(Phalacrocorax brasilianus)</v>
      </c>
      <c r="I18" s="2" t="s">
        <v>511</v>
      </c>
      <c r="J18" s="2" t="str">
        <f t="shared" si="1"/>
        <v>Biguá - (Phalacrocorax brasilianus)</v>
      </c>
    </row>
    <row r="19" spans="1:10" ht="12.75" hidden="1">
      <c r="A19" s="2" t="s">
        <v>528</v>
      </c>
      <c r="B19" s="2" t="s">
        <v>6</v>
      </c>
      <c r="C19" s="3" t="s">
        <v>52</v>
      </c>
      <c r="D19" s="8" t="s">
        <v>53</v>
      </c>
      <c r="E19" s="2" t="s">
        <v>51</v>
      </c>
      <c r="F19" s="2" t="s">
        <v>10</v>
      </c>
      <c r="G19" s="2" t="s">
        <v>11</v>
      </c>
      <c r="H19" s="9" t="str">
        <f t="shared" si="2"/>
        <v>(Anhinga anhinga)</v>
      </c>
      <c r="I19" s="2" t="s">
        <v>511</v>
      </c>
      <c r="J19" s="2" t="str">
        <f t="shared" si="1"/>
        <v>Biguatinga - (Anhinga anhinga)</v>
      </c>
    </row>
    <row r="20" spans="1:10" ht="12.75" hidden="1">
      <c r="A20" s="2" t="s">
        <v>529</v>
      </c>
      <c r="B20" s="2" t="s">
        <v>6</v>
      </c>
      <c r="C20" s="3" t="s">
        <v>54</v>
      </c>
      <c r="D20" s="8" t="s">
        <v>55</v>
      </c>
      <c r="E20" s="2" t="s">
        <v>14</v>
      </c>
      <c r="F20" s="2" t="s">
        <v>10</v>
      </c>
      <c r="G20" s="2" t="s">
        <v>11</v>
      </c>
      <c r="H20" s="9" t="str">
        <f t="shared" si="2"/>
        <v>(Sporophila pileata)</v>
      </c>
      <c r="I20" s="2" t="s">
        <v>511</v>
      </c>
      <c r="J20" s="2" t="str">
        <f t="shared" si="1"/>
        <v>Caboclinho - (Sporophila pileata)</v>
      </c>
    </row>
    <row r="21" spans="1:10" ht="12.75" hidden="1">
      <c r="A21" s="2" t="s">
        <v>530</v>
      </c>
      <c r="B21" s="2" t="s">
        <v>6</v>
      </c>
      <c r="C21" s="3" t="s">
        <v>56</v>
      </c>
      <c r="D21" s="8" t="s">
        <v>57</v>
      </c>
      <c r="E21" s="2" t="s">
        <v>14</v>
      </c>
      <c r="F21" s="2" t="s">
        <v>10</v>
      </c>
      <c r="G21" s="2" t="s">
        <v>42</v>
      </c>
      <c r="H21" s="9" t="str">
        <f t="shared" si="2"/>
        <v>(Serinus canaria)</v>
      </c>
      <c r="I21" s="2" t="s">
        <v>511</v>
      </c>
      <c r="J21" s="2" t="str">
        <f t="shared" si="1"/>
        <v>Canário Belga - (Serinus canaria)</v>
      </c>
    </row>
    <row r="22" spans="1:10" ht="12.75" hidden="1">
      <c r="A22" s="2" t="s">
        <v>531</v>
      </c>
      <c r="B22" s="2" t="s">
        <v>6</v>
      </c>
      <c r="C22" s="3" t="s">
        <v>58</v>
      </c>
      <c r="D22" s="8" t="s">
        <v>59</v>
      </c>
      <c r="E22" s="2" t="s">
        <v>14</v>
      </c>
      <c r="F22" s="2" t="s">
        <v>10</v>
      </c>
      <c r="G22" s="2" t="s">
        <v>11</v>
      </c>
      <c r="H22" s="9" t="str">
        <f t="shared" si="2"/>
        <v>(Sicalis flaveola)</v>
      </c>
      <c r="I22" s="2" t="s">
        <v>511</v>
      </c>
      <c r="J22" s="2" t="str">
        <f t="shared" si="1"/>
        <v>Canário da Terra - (Sicalis flaveola)</v>
      </c>
    </row>
    <row r="23" spans="1:10" ht="12.75" hidden="1">
      <c r="A23" s="2" t="s">
        <v>532</v>
      </c>
      <c r="B23" s="2" t="s">
        <v>6</v>
      </c>
      <c r="C23" s="3" t="s">
        <v>60</v>
      </c>
      <c r="D23" s="8" t="s">
        <v>61</v>
      </c>
      <c r="E23" s="2" t="s">
        <v>62</v>
      </c>
      <c r="F23" s="2" t="s">
        <v>10</v>
      </c>
      <c r="G23" s="2" t="s">
        <v>11</v>
      </c>
      <c r="H23" s="9" t="str">
        <f t="shared" si="2"/>
        <v>(Caracara plancus)</v>
      </c>
      <c r="I23" s="2" t="s">
        <v>511</v>
      </c>
      <c r="J23" s="2" t="str">
        <f t="shared" si="1"/>
        <v>Carcará - (Caracara plancus)</v>
      </c>
    </row>
    <row r="24" spans="1:10" ht="12.75" hidden="1">
      <c r="A24" s="2" t="s">
        <v>533</v>
      </c>
      <c r="B24" s="2" t="s">
        <v>6</v>
      </c>
      <c r="C24" s="3" t="s">
        <v>63</v>
      </c>
      <c r="D24" s="8" t="s">
        <v>64</v>
      </c>
      <c r="E24" s="2" t="s">
        <v>14</v>
      </c>
      <c r="F24" s="2" t="s">
        <v>10</v>
      </c>
      <c r="G24" s="2" t="s">
        <v>11</v>
      </c>
      <c r="H24" s="9" t="str">
        <f t="shared" si="2"/>
        <v>(Paroaria dominicana)</v>
      </c>
      <c r="I24" s="2" t="s">
        <v>511</v>
      </c>
      <c r="J24" s="2" t="str">
        <f t="shared" si="1"/>
        <v>Cardeal do Nordeste - (Paroaria dominicana)</v>
      </c>
    </row>
    <row r="25" spans="1:10" ht="12.75" hidden="1">
      <c r="A25" s="2" t="s">
        <v>534</v>
      </c>
      <c r="B25" s="2" t="s">
        <v>6</v>
      </c>
      <c r="C25" s="3" t="s">
        <v>65</v>
      </c>
      <c r="D25" s="8" t="s">
        <v>66</v>
      </c>
      <c r="E25" s="2" t="s">
        <v>14</v>
      </c>
      <c r="F25" s="2" t="s">
        <v>10</v>
      </c>
      <c r="G25" s="2" t="s">
        <v>11</v>
      </c>
      <c r="H25" s="9" t="str">
        <f t="shared" si="2"/>
        <v>(Paroaria capitata)</v>
      </c>
      <c r="I25" s="2" t="s">
        <v>511</v>
      </c>
      <c r="J25" s="2" t="str">
        <f t="shared" si="1"/>
        <v>Cardeal do Pantanal - (Paroaria capitata)</v>
      </c>
    </row>
    <row r="26" spans="1:10" ht="12.75" hidden="1">
      <c r="A26" s="2" t="s">
        <v>535</v>
      </c>
      <c r="B26" s="2" t="s">
        <v>6</v>
      </c>
      <c r="C26" s="3" t="s">
        <v>67</v>
      </c>
      <c r="D26" s="8" t="s">
        <v>68</v>
      </c>
      <c r="E26" s="2" t="s">
        <v>14</v>
      </c>
      <c r="F26" s="2" t="s">
        <v>10</v>
      </c>
      <c r="G26" s="2" t="s">
        <v>11</v>
      </c>
      <c r="H26" s="9" t="str">
        <f t="shared" si="2"/>
        <v>(Paroaria coronata)</v>
      </c>
      <c r="I26" s="2" t="s">
        <v>511</v>
      </c>
      <c r="J26" s="2" t="str">
        <f t="shared" si="1"/>
        <v>Cardeal do Sul - (Paroaria coronata)</v>
      </c>
    </row>
    <row r="27" spans="1:10" ht="12.75" hidden="1">
      <c r="A27" s="2" t="s">
        <v>536</v>
      </c>
      <c r="B27" s="2" t="s">
        <v>6</v>
      </c>
      <c r="C27" s="3" t="s">
        <v>69</v>
      </c>
      <c r="D27" s="8" t="s">
        <v>70</v>
      </c>
      <c r="E27" s="2" t="s">
        <v>14</v>
      </c>
      <c r="F27" s="2" t="s">
        <v>10</v>
      </c>
      <c r="G27" s="2" t="s">
        <v>11</v>
      </c>
      <c r="H27" s="9" t="str">
        <f t="shared" si="2"/>
        <v>(Sporophila caerulescens)</v>
      </c>
      <c r="I27" s="2" t="s">
        <v>511</v>
      </c>
      <c r="J27" s="2" t="str">
        <f t="shared" si="1"/>
        <v>Coleiro - (Sporophila caerulescens)</v>
      </c>
    </row>
    <row r="28" spans="1:10" ht="12.75" hidden="1">
      <c r="A28" s="2" t="s">
        <v>537</v>
      </c>
      <c r="B28" s="2" t="s">
        <v>6</v>
      </c>
      <c r="C28" s="3" t="s">
        <v>71</v>
      </c>
      <c r="D28" s="8" t="s">
        <v>72</v>
      </c>
      <c r="E28" s="2" t="s">
        <v>14</v>
      </c>
      <c r="F28" s="2" t="s">
        <v>10</v>
      </c>
      <c r="G28" s="2" t="s">
        <v>11</v>
      </c>
      <c r="H28" s="9" t="str">
        <f t="shared" si="2"/>
        <v>(Icterus jamacaii)</v>
      </c>
      <c r="I28" s="2" t="s">
        <v>511</v>
      </c>
      <c r="J28" s="2" t="str">
        <f t="shared" si="1"/>
        <v>Corrupião - (Icterus jamacaii)</v>
      </c>
    </row>
    <row r="29" spans="1:10" ht="12.75" hidden="1">
      <c r="A29" s="2" t="s">
        <v>538</v>
      </c>
      <c r="B29" s="2" t="s">
        <v>6</v>
      </c>
      <c r="C29" s="3" t="s">
        <v>73</v>
      </c>
      <c r="D29" s="8" t="s">
        <v>74</v>
      </c>
      <c r="E29" s="2" t="s">
        <v>75</v>
      </c>
      <c r="F29" s="2" t="s">
        <v>10</v>
      </c>
      <c r="G29" s="2" t="s">
        <v>11</v>
      </c>
      <c r="H29" s="9" t="str">
        <f t="shared" si="2"/>
        <v>(Athene cunicularia)</v>
      </c>
      <c r="I29" s="2" t="s">
        <v>511</v>
      </c>
      <c r="J29" s="2" t="str">
        <f t="shared" si="1"/>
        <v>Coruja Buraqueira - (Athene cunicularia)</v>
      </c>
    </row>
    <row r="30" spans="1:10" ht="12.75" hidden="1">
      <c r="A30" s="2" t="s">
        <v>539</v>
      </c>
      <c r="B30" s="2" t="s">
        <v>6</v>
      </c>
      <c r="C30" s="3" t="s">
        <v>76</v>
      </c>
      <c r="D30" s="8" t="s">
        <v>77</v>
      </c>
      <c r="E30" s="2" t="s">
        <v>75</v>
      </c>
      <c r="F30" s="2" t="s">
        <v>10</v>
      </c>
      <c r="G30" s="2" t="s">
        <v>11</v>
      </c>
      <c r="H30" s="9" t="str">
        <f t="shared" si="2"/>
        <v>(Glaucidium brasilianum)</v>
      </c>
      <c r="I30" s="2" t="s">
        <v>511</v>
      </c>
      <c r="J30" s="2" t="str">
        <f t="shared" si="1"/>
        <v>Coruja Caburé - (Glaucidium brasilianum)</v>
      </c>
    </row>
    <row r="31" spans="1:10" ht="12.75" hidden="1">
      <c r="A31" s="2" t="s">
        <v>540</v>
      </c>
      <c r="B31" s="2" t="s">
        <v>6</v>
      </c>
      <c r="C31" s="3" t="s">
        <v>78</v>
      </c>
      <c r="D31" s="8" t="s">
        <v>79</v>
      </c>
      <c r="E31" s="2" t="s">
        <v>75</v>
      </c>
      <c r="F31" s="2" t="s">
        <v>10</v>
      </c>
      <c r="G31" s="2" t="s">
        <v>11</v>
      </c>
      <c r="H31" s="9" t="str">
        <f t="shared" si="2"/>
        <v>(Pseudoscops clamator)</v>
      </c>
      <c r="I31" s="2" t="s">
        <v>511</v>
      </c>
      <c r="J31" s="2" t="str">
        <f t="shared" si="1"/>
        <v>Coruja Orelhuda - (Pseudoscops clamator)</v>
      </c>
    </row>
    <row r="32" spans="1:10" ht="12.75" hidden="1">
      <c r="A32" s="2" t="s">
        <v>541</v>
      </c>
      <c r="B32" s="2" t="s">
        <v>6</v>
      </c>
      <c r="C32" s="3" t="s">
        <v>80</v>
      </c>
      <c r="D32" s="8" t="s">
        <v>81</v>
      </c>
      <c r="E32" s="2" t="s">
        <v>75</v>
      </c>
      <c r="F32" s="2" t="s">
        <v>10</v>
      </c>
      <c r="G32" s="2" t="s">
        <v>11</v>
      </c>
      <c r="H32" s="9" t="str">
        <f t="shared" si="2"/>
        <v>(Strix huhula)</v>
      </c>
      <c r="I32" s="2" t="s">
        <v>511</v>
      </c>
      <c r="J32" s="2" t="str">
        <f t="shared" si="1"/>
        <v>Coruja Preta - (Strix huhula)</v>
      </c>
    </row>
    <row r="33" spans="1:10" ht="12.75" hidden="1">
      <c r="A33" s="2" t="s">
        <v>542</v>
      </c>
      <c r="B33" s="2" t="s">
        <v>6</v>
      </c>
      <c r="C33" s="3" t="s">
        <v>82</v>
      </c>
      <c r="D33" s="8" t="s">
        <v>83</v>
      </c>
      <c r="E33" s="2" t="s">
        <v>75</v>
      </c>
      <c r="F33" s="2" t="s">
        <v>10</v>
      </c>
      <c r="G33" s="2" t="s">
        <v>11</v>
      </c>
      <c r="H33" s="9" t="str">
        <f t="shared" si="2"/>
        <v>(Tyto furcata)</v>
      </c>
      <c r="I33" s="2" t="s">
        <v>511</v>
      </c>
      <c r="J33" s="2" t="str">
        <f t="shared" si="1"/>
        <v>Coruja Suindara - (Tyto furcata)</v>
      </c>
    </row>
    <row r="34" spans="1:10" ht="12.75" hidden="1">
      <c r="A34" s="2" t="s">
        <v>543</v>
      </c>
      <c r="B34" s="2" t="s">
        <v>6</v>
      </c>
      <c r="C34" s="3" t="s">
        <v>84</v>
      </c>
      <c r="D34" s="8" t="s">
        <v>85</v>
      </c>
      <c r="E34" s="2" t="s">
        <v>75</v>
      </c>
      <c r="F34" s="2" t="s">
        <v>10</v>
      </c>
      <c r="G34" s="2" t="s">
        <v>11</v>
      </c>
      <c r="H34" s="9" t="str">
        <f t="shared" si="2"/>
        <v>(Megascops choliba)</v>
      </c>
      <c r="I34" s="2" t="s">
        <v>511</v>
      </c>
      <c r="J34" s="2" t="str">
        <f t="shared" si="1"/>
        <v>Corujinha da Mata - (Megascops choliba)</v>
      </c>
    </row>
    <row r="35" spans="1:10" ht="12.75" hidden="1">
      <c r="A35" s="2" t="s">
        <v>544</v>
      </c>
      <c r="B35" s="2" t="s">
        <v>6</v>
      </c>
      <c r="C35" s="3" t="s">
        <v>86</v>
      </c>
      <c r="D35" s="8" t="s">
        <v>31</v>
      </c>
      <c r="E35" s="2" t="s">
        <v>32</v>
      </c>
      <c r="F35" s="2" t="s">
        <v>10</v>
      </c>
      <c r="G35" s="2" t="s">
        <v>11</v>
      </c>
      <c r="H35" s="9" t="str">
        <f t="shared" si="2"/>
        <v>(Nyctidromus albicollis)</v>
      </c>
      <c r="I35" s="2" t="s">
        <v>511</v>
      </c>
      <c r="J35" s="2" t="str">
        <f t="shared" si="1"/>
        <v>Curiango - (Nyctidromus albicollis)</v>
      </c>
    </row>
    <row r="36" spans="1:10" ht="12.75" hidden="1">
      <c r="A36" s="2" t="s">
        <v>545</v>
      </c>
      <c r="B36" s="2" t="s">
        <v>6</v>
      </c>
      <c r="C36" s="3" t="s">
        <v>87</v>
      </c>
      <c r="D36" s="8" t="s">
        <v>88</v>
      </c>
      <c r="E36" s="2" t="s">
        <v>89</v>
      </c>
      <c r="F36" s="2" t="s">
        <v>10</v>
      </c>
      <c r="G36" s="2" t="s">
        <v>11</v>
      </c>
      <c r="H36" s="9" t="str">
        <f t="shared" si="2"/>
        <v>(Theristicus caudatus)</v>
      </c>
      <c r="I36" s="2" t="s">
        <v>511</v>
      </c>
      <c r="J36" s="2" t="str">
        <f t="shared" si="1"/>
        <v>Curicaca - (Theristicus caudatus)</v>
      </c>
    </row>
    <row r="37" spans="1:10" ht="12.75" hidden="1">
      <c r="A37" s="2" t="s">
        <v>546</v>
      </c>
      <c r="B37" s="2" t="s">
        <v>6</v>
      </c>
      <c r="C37" s="3" t="s">
        <v>90</v>
      </c>
      <c r="D37" s="8" t="s">
        <v>91</v>
      </c>
      <c r="E37" s="2" t="s">
        <v>14</v>
      </c>
      <c r="F37" s="2" t="s">
        <v>10</v>
      </c>
      <c r="G37" s="2" t="s">
        <v>11</v>
      </c>
      <c r="H37" s="9" t="str">
        <f t="shared" si="2"/>
        <v>(Oryzoborus angolensis)</v>
      </c>
      <c r="I37" s="2" t="s">
        <v>511</v>
      </c>
      <c r="J37" s="2" t="str">
        <f t="shared" si="1"/>
        <v>Curió - (Oryzoborus angolensis)</v>
      </c>
    </row>
    <row r="38" spans="1:10" ht="12.75" hidden="1">
      <c r="A38" s="2" t="s">
        <v>547</v>
      </c>
      <c r="B38" s="2" t="s">
        <v>6</v>
      </c>
      <c r="C38" s="3" t="s">
        <v>92</v>
      </c>
      <c r="D38" s="8" t="s">
        <v>93</v>
      </c>
      <c r="E38" s="2" t="s">
        <v>94</v>
      </c>
      <c r="F38" s="2" t="s">
        <v>10</v>
      </c>
      <c r="G38" s="2" t="s">
        <v>11</v>
      </c>
      <c r="H38" s="9" t="str">
        <f t="shared" si="2"/>
        <v>(Gallinula galeata)</v>
      </c>
      <c r="I38" s="2" t="s">
        <v>511</v>
      </c>
      <c r="J38" s="2" t="str">
        <f t="shared" si="1"/>
        <v>Frango d’Água - (Gallinula galeata)</v>
      </c>
    </row>
    <row r="39" spans="1:10" ht="12.75" hidden="1">
      <c r="A39" s="2" t="s">
        <v>548</v>
      </c>
      <c r="B39" s="2" t="s">
        <v>6</v>
      </c>
      <c r="C39" s="3" t="s">
        <v>95</v>
      </c>
      <c r="D39" s="8" t="s">
        <v>96</v>
      </c>
      <c r="E39" s="2" t="s">
        <v>89</v>
      </c>
      <c r="F39" s="2" t="s">
        <v>10</v>
      </c>
      <c r="G39" s="2" t="s">
        <v>11</v>
      </c>
      <c r="H39" s="9" t="str">
        <f t="shared" si="2"/>
        <v>(Ardea alba)</v>
      </c>
      <c r="I39" s="2" t="s">
        <v>511</v>
      </c>
      <c r="J39" s="2" t="str">
        <f t="shared" si="1"/>
        <v>Garça Branca - (Ardea alba)</v>
      </c>
    </row>
    <row r="40" spans="1:10" ht="12.75" hidden="1">
      <c r="A40" s="2" t="s">
        <v>549</v>
      </c>
      <c r="B40" s="2" t="s">
        <v>6</v>
      </c>
      <c r="C40" s="3" t="s">
        <v>97</v>
      </c>
      <c r="D40" s="8" t="s">
        <v>98</v>
      </c>
      <c r="E40" s="2" t="s">
        <v>99</v>
      </c>
      <c r="F40" s="2" t="s">
        <v>10</v>
      </c>
      <c r="G40" s="2" t="s">
        <v>11</v>
      </c>
      <c r="H40" s="9" t="str">
        <f t="shared" si="2"/>
        <v>(Chrysomus ruficapillus)</v>
      </c>
      <c r="I40" s="2" t="s">
        <v>511</v>
      </c>
      <c r="J40" s="2" t="str">
        <f t="shared" si="1"/>
        <v>Garibaldi - (Chrysomus ruficapillus)</v>
      </c>
    </row>
    <row r="41" spans="1:10" ht="12.75" hidden="1">
      <c r="A41" s="2" t="s">
        <v>550</v>
      </c>
      <c r="B41" s="2" t="s">
        <v>6</v>
      </c>
      <c r="C41" s="3" t="s">
        <v>100</v>
      </c>
      <c r="D41" s="8" t="s">
        <v>101</v>
      </c>
      <c r="E41" s="2" t="s">
        <v>14</v>
      </c>
      <c r="F41" s="2" t="s">
        <v>10</v>
      </c>
      <c r="G41" s="2" t="s">
        <v>11</v>
      </c>
      <c r="H41" s="9" t="str">
        <f t="shared" si="2"/>
        <v>(Euphonia violacea)</v>
      </c>
      <c r="I41" s="2" t="s">
        <v>511</v>
      </c>
      <c r="J41" s="2" t="str">
        <f t="shared" si="1"/>
        <v>Gaturamo Verdadeiro - (Euphonia violacea)</v>
      </c>
    </row>
    <row r="42" spans="1:10" ht="12.75" hidden="1">
      <c r="A42" s="2" t="s">
        <v>551</v>
      </c>
      <c r="B42" s="2" t="s">
        <v>6</v>
      </c>
      <c r="C42" s="3" t="s">
        <v>102</v>
      </c>
      <c r="D42" s="8" t="s">
        <v>103</v>
      </c>
      <c r="E42" s="2" t="s">
        <v>62</v>
      </c>
      <c r="F42" s="2" t="s">
        <v>10</v>
      </c>
      <c r="G42" s="2" t="s">
        <v>11</v>
      </c>
      <c r="H42" s="9" t="str">
        <f t="shared" si="2"/>
        <v>(Rupornis magnirostris)</v>
      </c>
      <c r="I42" s="2" t="s">
        <v>511</v>
      </c>
      <c r="J42" s="2" t="str">
        <f t="shared" si="1"/>
        <v>Gavião Carijó - (Rupornis magnirostris)</v>
      </c>
    </row>
    <row r="43" spans="1:10" ht="12.75" hidden="1">
      <c r="A43" s="2" t="s">
        <v>552</v>
      </c>
      <c r="B43" s="2" t="s">
        <v>6</v>
      </c>
      <c r="C43" s="3" t="s">
        <v>104</v>
      </c>
      <c r="D43" s="8" t="s">
        <v>105</v>
      </c>
      <c r="E43" s="2" t="s">
        <v>62</v>
      </c>
      <c r="F43" s="2" t="s">
        <v>10</v>
      </c>
      <c r="G43" s="2" t="s">
        <v>11</v>
      </c>
      <c r="H43" s="9" t="str">
        <f t="shared" si="2"/>
        <v>(Falco sparverius)</v>
      </c>
      <c r="I43" s="2" t="s">
        <v>511</v>
      </c>
      <c r="J43" s="2" t="str">
        <f t="shared" si="1"/>
        <v>Gavião Quiriquiri - (Falco sparverius)</v>
      </c>
    </row>
    <row r="44" spans="1:10" ht="12.75" hidden="1">
      <c r="A44" s="2" t="s">
        <v>553</v>
      </c>
      <c r="B44" s="2" t="s">
        <v>6</v>
      </c>
      <c r="C44" s="3" t="s">
        <v>106</v>
      </c>
      <c r="D44" s="8" t="s">
        <v>107</v>
      </c>
      <c r="E44" s="2" t="s">
        <v>14</v>
      </c>
      <c r="F44" s="2" t="s">
        <v>10</v>
      </c>
      <c r="G44" s="2" t="s">
        <v>11</v>
      </c>
      <c r="H44" s="9" t="str">
        <f t="shared" si="2"/>
        <v>(Sporophila albogularis)</v>
      </c>
      <c r="I44" s="2" t="s">
        <v>511</v>
      </c>
      <c r="J44" s="2" t="str">
        <f t="shared" si="1"/>
        <v>Golinho - (Sporophila albogularis)</v>
      </c>
    </row>
    <row r="45" spans="1:10" ht="12.75" hidden="1">
      <c r="A45" s="2" t="s">
        <v>554</v>
      </c>
      <c r="B45" s="2" t="s">
        <v>6</v>
      </c>
      <c r="C45" s="3" t="s">
        <v>108</v>
      </c>
      <c r="D45" s="8" t="s">
        <v>109</v>
      </c>
      <c r="E45" s="2" t="s">
        <v>14</v>
      </c>
      <c r="F45" s="2" t="s">
        <v>10</v>
      </c>
      <c r="G45" s="2" t="s">
        <v>11</v>
      </c>
      <c r="H45" s="9" t="str">
        <f t="shared" si="2"/>
        <v>(Cyanocorax cyanopogon)</v>
      </c>
      <c r="I45" s="2" t="s">
        <v>511</v>
      </c>
      <c r="J45" s="2" t="str">
        <f t="shared" si="1"/>
        <v>Gralha Cancã - (Cyanocorax cyanopogon)</v>
      </c>
    </row>
    <row r="46" spans="1:10" ht="12.75" hidden="1">
      <c r="A46" s="2" t="s">
        <v>555</v>
      </c>
      <c r="B46" s="2" t="s">
        <v>6</v>
      </c>
      <c r="C46" s="3" t="s">
        <v>110</v>
      </c>
      <c r="D46" s="8" t="s">
        <v>111</v>
      </c>
      <c r="E46" s="2" t="s">
        <v>99</v>
      </c>
      <c r="F46" s="2" t="s">
        <v>10</v>
      </c>
      <c r="G46" s="2" t="s">
        <v>11</v>
      </c>
      <c r="H46" s="9" t="str">
        <f t="shared" si="2"/>
        <v>(Molothrus oryzivorus)</v>
      </c>
      <c r="I46" s="2" t="s">
        <v>511</v>
      </c>
      <c r="J46" s="2" t="str">
        <f t="shared" si="1"/>
        <v>Iraúna Grande - (Molothrus oryzivorus)</v>
      </c>
    </row>
    <row r="47" spans="1:10" ht="12.75" hidden="1">
      <c r="A47" s="2" t="s">
        <v>556</v>
      </c>
      <c r="B47" s="2" t="s">
        <v>6</v>
      </c>
      <c r="C47" s="3" t="s">
        <v>112</v>
      </c>
      <c r="D47" s="8" t="s">
        <v>113</v>
      </c>
      <c r="E47" s="2" t="s">
        <v>114</v>
      </c>
      <c r="F47" s="2" t="s">
        <v>10</v>
      </c>
      <c r="G47" s="2" t="s">
        <v>11</v>
      </c>
      <c r="H47" s="9" t="str">
        <f t="shared" si="2"/>
        <v>(Dendrocygna viduata)</v>
      </c>
      <c r="I47" s="2" t="s">
        <v>511</v>
      </c>
      <c r="J47" s="2" t="str">
        <f t="shared" si="1"/>
        <v>Irerê - (Dendrocygna viduata)</v>
      </c>
    </row>
    <row r="48" spans="1:10" ht="12.75" hidden="1">
      <c r="A48" s="2" t="s">
        <v>557</v>
      </c>
      <c r="B48" s="2" t="s">
        <v>6</v>
      </c>
      <c r="C48" s="3" t="s">
        <v>115</v>
      </c>
      <c r="D48" s="8" t="s">
        <v>116</v>
      </c>
      <c r="E48" s="2" t="s">
        <v>24</v>
      </c>
      <c r="F48" s="2" t="s">
        <v>10</v>
      </c>
      <c r="G48" s="2" t="s">
        <v>11</v>
      </c>
      <c r="H48" s="9" t="str">
        <f t="shared" si="2"/>
        <v>(Aratinga jandaya)</v>
      </c>
      <c r="I48" s="2" t="s">
        <v>511</v>
      </c>
      <c r="J48" s="2" t="str">
        <f t="shared" si="1"/>
        <v>Jandaia - (Aratinga jandaya)</v>
      </c>
    </row>
    <row r="49" spans="1:10" ht="12.75" hidden="1">
      <c r="A49" s="2" t="s">
        <v>558</v>
      </c>
      <c r="B49" s="2" t="s">
        <v>6</v>
      </c>
      <c r="C49" s="3" t="s">
        <v>117</v>
      </c>
      <c r="D49" s="8" t="s">
        <v>118</v>
      </c>
      <c r="E49" s="2" t="s">
        <v>14</v>
      </c>
      <c r="F49" s="2" t="s">
        <v>10</v>
      </c>
      <c r="G49" s="2" t="s">
        <v>11</v>
      </c>
      <c r="H49" s="9" t="str">
        <f t="shared" si="2"/>
        <v>(Furnarius rufus)</v>
      </c>
      <c r="I49" s="2" t="s">
        <v>511</v>
      </c>
      <c r="J49" s="2" t="str">
        <f t="shared" si="1"/>
        <v>João de Barro - (Furnarius rufus)</v>
      </c>
    </row>
    <row r="50" spans="1:10" ht="12.75" hidden="1">
      <c r="A50" s="2" t="s">
        <v>559</v>
      </c>
      <c r="B50" s="2" t="s">
        <v>6</v>
      </c>
      <c r="C50" s="3" t="s">
        <v>119</v>
      </c>
      <c r="D50" s="8" t="s">
        <v>120</v>
      </c>
      <c r="E50" s="2" t="s">
        <v>14</v>
      </c>
      <c r="F50" s="2" t="s">
        <v>10</v>
      </c>
      <c r="G50" s="2" t="s">
        <v>11</v>
      </c>
      <c r="H50" s="9" t="str">
        <f t="shared" si="2"/>
        <v>(Baryphthengus ruficapillus)</v>
      </c>
      <c r="I50" s="2" t="s">
        <v>511</v>
      </c>
      <c r="J50" s="2" t="str">
        <f t="shared" si="1"/>
        <v>Juruva - (Baryphthengus ruficapillus)</v>
      </c>
    </row>
    <row r="51" spans="1:10" ht="12.75" hidden="1">
      <c r="A51" s="2" t="s">
        <v>560</v>
      </c>
      <c r="B51" s="2" t="s">
        <v>6</v>
      </c>
      <c r="C51" s="3" t="s">
        <v>121</v>
      </c>
      <c r="D51" s="8" t="s">
        <v>122</v>
      </c>
      <c r="E51" s="2" t="s">
        <v>123</v>
      </c>
      <c r="F51" s="2" t="s">
        <v>10</v>
      </c>
      <c r="G51" s="2" t="s">
        <v>11</v>
      </c>
      <c r="H51" s="9" t="str">
        <f t="shared" si="2"/>
        <v>(Syrigma sibilatrix)</v>
      </c>
      <c r="I51" s="2" t="s">
        <v>511</v>
      </c>
      <c r="J51" s="2" t="str">
        <f t="shared" si="1"/>
        <v>Maria Faceira - (Syrigma sibilatrix)</v>
      </c>
    </row>
    <row r="52" spans="1:10" ht="12.75" hidden="1">
      <c r="A52" s="2" t="s">
        <v>561</v>
      </c>
      <c r="B52" s="2" t="s">
        <v>6</v>
      </c>
      <c r="C52" s="3" t="s">
        <v>124</v>
      </c>
      <c r="D52" s="8" t="s">
        <v>125</v>
      </c>
      <c r="E52" s="2" t="s">
        <v>24</v>
      </c>
      <c r="F52" s="2" t="s">
        <v>10</v>
      </c>
      <c r="G52" s="2" t="s">
        <v>11</v>
      </c>
      <c r="H52" s="9" t="str">
        <f t="shared" si="2"/>
        <v>(Pionus maximiliani)</v>
      </c>
      <c r="I52" s="2" t="s">
        <v>511</v>
      </c>
      <c r="J52" s="2" t="str">
        <f t="shared" si="1"/>
        <v>Maritaca - (Pionus maximiliani)</v>
      </c>
    </row>
    <row r="53" spans="1:10" ht="12.75" hidden="1">
      <c r="A53" s="2" t="s">
        <v>562</v>
      </c>
      <c r="B53" s="2" t="s">
        <v>6</v>
      </c>
      <c r="C53" s="3" t="s">
        <v>126</v>
      </c>
      <c r="D53" s="8" t="s">
        <v>127</v>
      </c>
      <c r="E53" s="2" t="s">
        <v>114</v>
      </c>
      <c r="F53" s="2" t="s">
        <v>10</v>
      </c>
      <c r="G53" s="2" t="s">
        <v>42</v>
      </c>
      <c r="H53" s="9" t="str">
        <f t="shared" si="2"/>
        <v>(Anas platyrhynchos domesticus)</v>
      </c>
      <c r="I53" s="2" t="s">
        <v>511</v>
      </c>
      <c r="J53" s="2" t="str">
        <f t="shared" si="1"/>
        <v>Marreco - (Anas platyrhynchos domesticus)</v>
      </c>
    </row>
    <row r="54" spans="1:10" ht="12.75" hidden="1">
      <c r="A54" s="2" t="s">
        <v>563</v>
      </c>
      <c r="B54" s="2" t="s">
        <v>6</v>
      </c>
      <c r="C54" s="3" t="s">
        <v>128</v>
      </c>
      <c r="D54" s="8" t="s">
        <v>129</v>
      </c>
      <c r="E54" s="2" t="s">
        <v>130</v>
      </c>
      <c r="F54" s="2" t="s">
        <v>10</v>
      </c>
      <c r="G54" s="2" t="s">
        <v>11</v>
      </c>
      <c r="H54" s="9" t="str">
        <f t="shared" si="2"/>
        <v>(Megaceryle torquata)</v>
      </c>
      <c r="I54" s="2" t="s">
        <v>511</v>
      </c>
      <c r="J54" s="2" t="str">
        <f t="shared" si="1"/>
        <v>Martim Pescador - (Megaceryle torquata)</v>
      </c>
    </row>
    <row r="55" spans="1:10" ht="12.75" hidden="1">
      <c r="A55" s="2" t="s">
        <v>564</v>
      </c>
      <c r="B55" s="2" t="s">
        <v>6</v>
      </c>
      <c r="C55" s="3" t="s">
        <v>131</v>
      </c>
      <c r="D55" s="8" t="s">
        <v>132</v>
      </c>
      <c r="E55" s="2" t="s">
        <v>14</v>
      </c>
      <c r="F55" s="2" t="s">
        <v>10</v>
      </c>
      <c r="G55" s="2" t="s">
        <v>42</v>
      </c>
      <c r="H55" s="9" t="str">
        <f t="shared" si="2"/>
        <v>(Turdus merula)</v>
      </c>
      <c r="I55" s="2" t="s">
        <v>511</v>
      </c>
      <c r="J55" s="2" t="str">
        <f t="shared" si="1"/>
        <v>Melro - (Turdus merula)</v>
      </c>
    </row>
    <row r="56" spans="1:10" ht="12.75" hidden="1">
      <c r="A56" s="2" t="s">
        <v>565</v>
      </c>
      <c r="B56" s="2" t="s">
        <v>6</v>
      </c>
      <c r="C56" s="3" t="s">
        <v>133</v>
      </c>
      <c r="D56" s="8" t="s">
        <v>134</v>
      </c>
      <c r="E56" s="2" t="s">
        <v>135</v>
      </c>
      <c r="F56" s="2" t="s">
        <v>25</v>
      </c>
      <c r="G56" s="2" t="s">
        <v>11</v>
      </c>
      <c r="H56" s="9" t="str">
        <f t="shared" si="2"/>
        <v>(Crax fasciolata)</v>
      </c>
      <c r="I56" s="2" t="s">
        <v>511</v>
      </c>
      <c r="J56" s="2" t="str">
        <f t="shared" si="1"/>
        <v>Mutum - (Crax fasciolata)</v>
      </c>
    </row>
    <row r="57" spans="1:10" ht="12.75" hidden="1">
      <c r="A57" s="2" t="s">
        <v>566</v>
      </c>
      <c r="B57" s="2" t="s">
        <v>6</v>
      </c>
      <c r="C57" s="3" t="s">
        <v>136</v>
      </c>
      <c r="D57" s="8" t="s">
        <v>34</v>
      </c>
      <c r="E57" s="2" t="s">
        <v>14</v>
      </c>
      <c r="F57" s="2" t="s">
        <v>10</v>
      </c>
      <c r="G57" s="2" t="s">
        <v>11</v>
      </c>
      <c r="H57" s="9" t="str">
        <f t="shared" si="2"/>
        <v>(Sporophila nigricollis)</v>
      </c>
      <c r="I57" s="2" t="s">
        <v>511</v>
      </c>
      <c r="J57" s="2" t="str">
        <f t="shared" si="1"/>
        <v>Papa Capim - (Sporophila nigricollis)</v>
      </c>
    </row>
    <row r="58" spans="1:10" ht="12.75" hidden="1">
      <c r="A58" s="2" t="s">
        <v>567</v>
      </c>
      <c r="B58" s="2" t="s">
        <v>6</v>
      </c>
      <c r="C58" s="3" t="s">
        <v>137</v>
      </c>
      <c r="D58" s="8" t="s">
        <v>138</v>
      </c>
      <c r="E58" s="2" t="s">
        <v>9</v>
      </c>
      <c r="F58" s="2" t="s">
        <v>10</v>
      </c>
      <c r="G58" s="2" t="s">
        <v>11</v>
      </c>
      <c r="H58" s="9" t="str">
        <f t="shared" si="2"/>
        <v>(Coccyzus melacoryphus)</v>
      </c>
      <c r="I58" s="2" t="s">
        <v>511</v>
      </c>
      <c r="J58" s="2" t="str">
        <f t="shared" si="1"/>
        <v>Papa Lagarta - (Coccyzus melacoryphus)</v>
      </c>
    </row>
    <row r="59" spans="1:10" ht="12.75" hidden="1">
      <c r="A59" s="2" t="s">
        <v>568</v>
      </c>
      <c r="B59" s="2" t="s">
        <v>6</v>
      </c>
      <c r="C59" s="3" t="s">
        <v>139</v>
      </c>
      <c r="D59" s="8" t="s">
        <v>140</v>
      </c>
      <c r="E59" s="2" t="s">
        <v>24</v>
      </c>
      <c r="F59" s="2" t="s">
        <v>25</v>
      </c>
      <c r="G59" s="2" t="s">
        <v>11</v>
      </c>
      <c r="H59" s="9" t="str">
        <f t="shared" si="2"/>
        <v>(Amazona amazonica)</v>
      </c>
      <c r="I59" s="2" t="s">
        <v>511</v>
      </c>
      <c r="J59" s="2" t="str">
        <f t="shared" si="1"/>
        <v>Papagaio do Mangue - (Amazona amazonica)</v>
      </c>
    </row>
    <row r="60" spans="1:10" ht="12.75" hidden="1">
      <c r="A60" s="2" t="s">
        <v>569</v>
      </c>
      <c r="B60" s="2" t="s">
        <v>6</v>
      </c>
      <c r="C60" s="3" t="s">
        <v>141</v>
      </c>
      <c r="D60" s="8" t="s">
        <v>142</v>
      </c>
      <c r="E60" s="2" t="s">
        <v>24</v>
      </c>
      <c r="F60" s="2" t="s">
        <v>25</v>
      </c>
      <c r="G60" s="2" t="s">
        <v>11</v>
      </c>
      <c r="H60" s="9" t="str">
        <f t="shared" si="2"/>
        <v>(Alipiopsitta xanthops)</v>
      </c>
      <c r="I60" s="2" t="s">
        <v>511</v>
      </c>
      <c r="J60" s="2" t="str">
        <f t="shared" si="1"/>
        <v>Papagaio Galego - (Alipiopsitta xanthops)</v>
      </c>
    </row>
    <row r="61" spans="1:10" ht="12.75" hidden="1">
      <c r="A61" s="2" t="s">
        <v>570</v>
      </c>
      <c r="B61" s="2" t="s">
        <v>6</v>
      </c>
      <c r="C61" s="3" t="s">
        <v>143</v>
      </c>
      <c r="D61" s="8" t="s">
        <v>144</v>
      </c>
      <c r="E61" s="2" t="s">
        <v>24</v>
      </c>
      <c r="F61" s="2" t="s">
        <v>145</v>
      </c>
      <c r="G61" s="2" t="s">
        <v>11</v>
      </c>
      <c r="H61" s="9" t="str">
        <f t="shared" si="2"/>
        <v>(Amazona aestiva)</v>
      </c>
      <c r="I61" s="2" t="s">
        <v>511</v>
      </c>
      <c r="J61" s="2" t="str">
        <f t="shared" si="1"/>
        <v>Papagaio Verdadeiro - (Amazona aestiva)</v>
      </c>
    </row>
    <row r="62" spans="1:10" ht="12.75" hidden="1">
      <c r="A62" s="2" t="s">
        <v>571</v>
      </c>
      <c r="B62" s="2" t="s">
        <v>6</v>
      </c>
      <c r="C62" s="3" t="s">
        <v>146</v>
      </c>
      <c r="D62" s="8" t="s">
        <v>147</v>
      </c>
      <c r="E62" s="2" t="s">
        <v>14</v>
      </c>
      <c r="F62" s="2" t="s">
        <v>10</v>
      </c>
      <c r="G62" s="2" t="s">
        <v>11</v>
      </c>
      <c r="H62" s="9" t="str">
        <f t="shared" si="2"/>
        <v>(Sporophila plumbea)</v>
      </c>
      <c r="I62" s="2" t="s">
        <v>511</v>
      </c>
      <c r="J62" s="2" t="str">
        <f t="shared" si="1"/>
        <v>Patativa - (Sporophila plumbea)</v>
      </c>
    </row>
    <row r="63" spans="1:10" ht="12.75" hidden="1">
      <c r="A63" s="2" t="s">
        <v>572</v>
      </c>
      <c r="B63" s="2" t="s">
        <v>6</v>
      </c>
      <c r="C63" s="3" t="s">
        <v>148</v>
      </c>
      <c r="D63" s="8" t="s">
        <v>127</v>
      </c>
      <c r="E63" s="2" t="s">
        <v>114</v>
      </c>
      <c r="F63" s="2" t="s">
        <v>10</v>
      </c>
      <c r="G63" s="2" t="s">
        <v>42</v>
      </c>
      <c r="H63" s="9" t="str">
        <f t="shared" si="2"/>
        <v>(Anas platyrhynchos domesticus)</v>
      </c>
      <c r="I63" s="2" t="s">
        <v>511</v>
      </c>
      <c r="J63" s="2" t="str">
        <f t="shared" si="1"/>
        <v>Pato - (Anas platyrhynchos domesticus)</v>
      </c>
    </row>
    <row r="64" spans="1:10" ht="12.75" hidden="1">
      <c r="A64" s="2" t="s">
        <v>573</v>
      </c>
      <c r="B64" s="2" t="s">
        <v>6</v>
      </c>
      <c r="C64" s="3" t="s">
        <v>149</v>
      </c>
      <c r="D64" s="8" t="s">
        <v>150</v>
      </c>
      <c r="E64" s="2" t="s">
        <v>114</v>
      </c>
      <c r="F64" s="2" t="s">
        <v>10</v>
      </c>
      <c r="G64" s="2" t="s">
        <v>11</v>
      </c>
      <c r="H64" s="9" t="str">
        <f t="shared" si="2"/>
        <v>(Netta erythrophthalma)</v>
      </c>
      <c r="I64" s="2" t="s">
        <v>511</v>
      </c>
      <c r="J64" s="2" t="str">
        <f t="shared" si="1"/>
        <v>Paturi - (Netta erythrophthalma)</v>
      </c>
    </row>
    <row r="65" spans="1:10" ht="12.75" hidden="1">
      <c r="A65" s="2" t="s">
        <v>574</v>
      </c>
      <c r="B65" s="2" t="s">
        <v>6</v>
      </c>
      <c r="C65" s="3" t="s">
        <v>151</v>
      </c>
      <c r="D65" s="8" t="s">
        <v>152</v>
      </c>
      <c r="E65" s="2" t="s">
        <v>94</v>
      </c>
      <c r="F65" s="2" t="s">
        <v>10</v>
      </c>
      <c r="G65" s="2" t="s">
        <v>11</v>
      </c>
      <c r="H65" s="9" t="str">
        <f t="shared" si="2"/>
        <v>(Rhynchotus rufescens)</v>
      </c>
      <c r="I65" s="2" t="s">
        <v>511</v>
      </c>
      <c r="J65" s="2" t="str">
        <f t="shared" si="1"/>
        <v>Perdiz - (Rhynchotus rufescens)</v>
      </c>
    </row>
    <row r="66" spans="1:10" ht="12.75" hidden="1">
      <c r="A66" s="2" t="s">
        <v>575</v>
      </c>
      <c r="B66" s="2" t="s">
        <v>6</v>
      </c>
      <c r="C66" s="3" t="s">
        <v>153</v>
      </c>
      <c r="D66" s="8" t="s">
        <v>154</v>
      </c>
      <c r="E66" s="2" t="s">
        <v>24</v>
      </c>
      <c r="F66" s="2" t="s">
        <v>10</v>
      </c>
      <c r="G66" s="2" t="s">
        <v>11</v>
      </c>
      <c r="H66" s="9" t="str">
        <f t="shared" si="2"/>
        <v>(Brotogeris chiriri)</v>
      </c>
      <c r="I66" s="2" t="s">
        <v>511</v>
      </c>
      <c r="J66" s="2" t="str">
        <f t="shared" si="1"/>
        <v>Periquito do Encontro - (Brotogeris chiriri)</v>
      </c>
    </row>
    <row r="67" spans="1:10" ht="12.75" hidden="1">
      <c r="A67" s="2" t="s">
        <v>576</v>
      </c>
      <c r="B67" s="2" t="s">
        <v>6</v>
      </c>
      <c r="C67" s="3" t="s">
        <v>155</v>
      </c>
      <c r="D67" s="8" t="s">
        <v>156</v>
      </c>
      <c r="E67" s="2" t="s">
        <v>24</v>
      </c>
      <c r="F67" s="2" t="s">
        <v>10</v>
      </c>
      <c r="G67" s="2" t="s">
        <v>11</v>
      </c>
      <c r="H67" s="9" t="str">
        <f t="shared" si="2"/>
        <v>(Psittacara leucophthalmus)</v>
      </c>
      <c r="I67" s="2" t="s">
        <v>511</v>
      </c>
      <c r="J67" s="2" t="str">
        <f t="shared" si="1"/>
        <v>Periquito Maracanã - (Psittacara leucophthalmus)</v>
      </c>
    </row>
    <row r="68" spans="1:10" ht="12.75" hidden="1">
      <c r="A68" s="2" t="s">
        <v>577</v>
      </c>
      <c r="B68" s="2" t="s">
        <v>6</v>
      </c>
      <c r="C68" s="3" t="s">
        <v>157</v>
      </c>
      <c r="D68" s="8" t="s">
        <v>158</v>
      </c>
      <c r="E68" s="2" t="s">
        <v>24</v>
      </c>
      <c r="F68" s="2" t="s">
        <v>10</v>
      </c>
      <c r="G68" s="2" t="s">
        <v>11</v>
      </c>
      <c r="H68" s="9" t="str">
        <f t="shared" si="2"/>
        <v>(Eupsittula aurea)</v>
      </c>
      <c r="I68" s="2" t="s">
        <v>511</v>
      </c>
      <c r="J68" s="2" t="str">
        <f t="shared" si="1"/>
        <v>Periquito Rei - (Eupsittula aurea)</v>
      </c>
    </row>
    <row r="69" spans="1:10" ht="12.75" hidden="1">
      <c r="A69" s="2" t="s">
        <v>578</v>
      </c>
      <c r="B69" s="2" t="s">
        <v>6</v>
      </c>
      <c r="C69" s="3" t="s">
        <v>159</v>
      </c>
      <c r="D69" s="8" t="s">
        <v>160</v>
      </c>
      <c r="E69" s="2" t="s">
        <v>24</v>
      </c>
      <c r="F69" s="2" t="s">
        <v>10</v>
      </c>
      <c r="G69" s="2" t="s">
        <v>11</v>
      </c>
      <c r="H69" s="9" t="str">
        <f t="shared" si="2"/>
        <v>(Brotogeris tirica)</v>
      </c>
      <c r="I69" s="2" t="s">
        <v>511</v>
      </c>
      <c r="J69" s="2" t="str">
        <f t="shared" si="1"/>
        <v>Periquito Rico - (Brotogeris tirica)</v>
      </c>
    </row>
    <row r="70" spans="1:10" ht="12.75" hidden="1">
      <c r="A70" s="2" t="s">
        <v>579</v>
      </c>
      <c r="B70" s="2" t="s">
        <v>6</v>
      </c>
      <c r="C70" s="3" t="s">
        <v>161</v>
      </c>
      <c r="D70" s="8" t="s">
        <v>162</v>
      </c>
      <c r="E70" s="2" t="s">
        <v>21</v>
      </c>
      <c r="F70" s="2" t="s">
        <v>10</v>
      </c>
      <c r="G70" s="2" t="s">
        <v>11</v>
      </c>
      <c r="H70" s="9" t="str">
        <f t="shared" si="2"/>
        <v>(Campephilus robustus)</v>
      </c>
      <c r="I70" s="2" t="s">
        <v>511</v>
      </c>
      <c r="J70" s="2" t="str">
        <f t="shared" si="1"/>
        <v>Pica Pau - (Campephilus robustus)</v>
      </c>
    </row>
    <row r="71" spans="1:10" ht="12.75" hidden="1">
      <c r="A71" s="2" t="s">
        <v>580</v>
      </c>
      <c r="B71" s="2" t="s">
        <v>6</v>
      </c>
      <c r="C71" s="3" t="s">
        <v>163</v>
      </c>
      <c r="D71" s="8" t="s">
        <v>164</v>
      </c>
      <c r="E71" s="2" t="s">
        <v>14</v>
      </c>
      <c r="F71" s="2" t="s">
        <v>10</v>
      </c>
      <c r="G71" s="2" t="s">
        <v>11</v>
      </c>
      <c r="H71" s="9" t="str">
        <f t="shared" si="2"/>
        <v>(Carduelis carduelis)</v>
      </c>
      <c r="I71" s="2" t="s">
        <v>511</v>
      </c>
      <c r="J71" s="2" t="str">
        <f t="shared" si="1"/>
        <v>Pintassilgo - (Carduelis carduelis)</v>
      </c>
    </row>
    <row r="72" spans="1:10" ht="12.75" hidden="1">
      <c r="A72" s="2" t="s">
        <v>581</v>
      </c>
      <c r="B72" s="2" t="s">
        <v>6</v>
      </c>
      <c r="C72" s="3" t="s">
        <v>165</v>
      </c>
      <c r="D72" s="8" t="s">
        <v>166</v>
      </c>
      <c r="E72" s="2" t="s">
        <v>167</v>
      </c>
      <c r="F72" s="2" t="s">
        <v>10</v>
      </c>
      <c r="G72" s="2" t="s">
        <v>11</v>
      </c>
      <c r="H72" s="9" t="str">
        <f t="shared" si="2"/>
        <v>(Zenaida auriculata)</v>
      </c>
      <c r="I72" s="2" t="s">
        <v>511</v>
      </c>
      <c r="J72" s="2" t="str">
        <f t="shared" si="1"/>
        <v>Pomba do Bando - (Zenaida auriculata)</v>
      </c>
    </row>
    <row r="73" spans="1:10" ht="12.75" hidden="1">
      <c r="A73" s="2" t="s">
        <v>582</v>
      </c>
      <c r="B73" s="2" t="s">
        <v>6</v>
      </c>
      <c r="C73" s="3" t="s">
        <v>168</v>
      </c>
      <c r="D73" s="8" t="s">
        <v>169</v>
      </c>
      <c r="E73" s="2" t="s">
        <v>167</v>
      </c>
      <c r="F73" s="2" t="s">
        <v>10</v>
      </c>
      <c r="G73" s="2" t="s">
        <v>11</v>
      </c>
      <c r="H73" s="9" t="str">
        <f t="shared" si="2"/>
        <v>(Patagioenas picazuro)</v>
      </c>
      <c r="I73" s="2" t="s">
        <v>511</v>
      </c>
      <c r="J73" s="2" t="str">
        <f t="shared" si="1"/>
        <v>Pomba Verdadeira - (Patagioenas picazuro)</v>
      </c>
    </row>
    <row r="74" spans="1:10" ht="12.75" hidden="1">
      <c r="A74" s="2" t="s">
        <v>583</v>
      </c>
      <c r="B74" s="2" t="s">
        <v>6</v>
      </c>
      <c r="C74" s="3" t="s">
        <v>170</v>
      </c>
      <c r="D74" s="8" t="s">
        <v>171</v>
      </c>
      <c r="E74" s="2" t="s">
        <v>32</v>
      </c>
      <c r="F74" s="2" t="s">
        <v>10</v>
      </c>
      <c r="G74" s="2" t="s">
        <v>11</v>
      </c>
      <c r="H74" s="9" t="str">
        <f t="shared" si="2"/>
        <v>(Vanellus chilensis)</v>
      </c>
      <c r="I74" s="2" t="s">
        <v>511</v>
      </c>
      <c r="J74" s="2" t="str">
        <f t="shared" si="1"/>
        <v>Quero Quero - (Vanellus chilensis)</v>
      </c>
    </row>
    <row r="75" spans="1:10" ht="12.75" hidden="1">
      <c r="A75" s="2" t="s">
        <v>584</v>
      </c>
      <c r="B75" s="2" t="s">
        <v>6</v>
      </c>
      <c r="C75" s="3" t="s">
        <v>172</v>
      </c>
      <c r="D75" s="8" t="s">
        <v>173</v>
      </c>
      <c r="E75" s="2" t="s">
        <v>167</v>
      </c>
      <c r="F75" s="2" t="s">
        <v>10</v>
      </c>
      <c r="G75" s="2" t="s">
        <v>11</v>
      </c>
      <c r="H75" s="9" t="str">
        <f t="shared" si="2"/>
        <v>(Columbina passerina)</v>
      </c>
      <c r="I75" s="2" t="s">
        <v>511</v>
      </c>
      <c r="J75" s="2" t="str">
        <f t="shared" si="1"/>
        <v>Rolinha Cinzenta - (Columbina passerina)</v>
      </c>
    </row>
    <row r="76" spans="1:10" ht="12.75" hidden="1">
      <c r="A76" s="2" t="s">
        <v>585</v>
      </c>
      <c r="B76" s="2" t="s">
        <v>6</v>
      </c>
      <c r="C76" s="3" t="s">
        <v>174</v>
      </c>
      <c r="D76" s="8" t="s">
        <v>175</v>
      </c>
      <c r="E76" s="2" t="s">
        <v>167</v>
      </c>
      <c r="F76" s="2" t="s">
        <v>10</v>
      </c>
      <c r="G76" s="2" t="s">
        <v>11</v>
      </c>
      <c r="H76" s="9" t="str">
        <f t="shared" si="2"/>
        <v>(Columbina talpacoti)</v>
      </c>
      <c r="I76" s="2" t="s">
        <v>511</v>
      </c>
      <c r="J76" s="2" t="str">
        <f t="shared" si="1"/>
        <v>Rolinha Roxa - (Columbina talpacoti)</v>
      </c>
    </row>
    <row r="77" spans="1:10" ht="12.75" hidden="1">
      <c r="A77" s="2" t="s">
        <v>586</v>
      </c>
      <c r="B77" s="2" t="s">
        <v>6</v>
      </c>
      <c r="C77" s="3" t="s">
        <v>176</v>
      </c>
      <c r="D77" s="8" t="s">
        <v>177</v>
      </c>
      <c r="E77" s="2" t="s">
        <v>14</v>
      </c>
      <c r="F77" s="2" t="s">
        <v>10</v>
      </c>
      <c r="G77" s="2" t="s">
        <v>11</v>
      </c>
      <c r="H77" s="9" t="str">
        <f t="shared" si="2"/>
        <v>(Luscinia megarhynchos)</v>
      </c>
      <c r="I77" s="2" t="s">
        <v>511</v>
      </c>
      <c r="J77" s="2" t="str">
        <f t="shared" si="1"/>
        <v>Rouxinol do Encontro - (Luscinia megarhynchos)</v>
      </c>
    </row>
    <row r="78" spans="1:10" ht="12.75" hidden="1">
      <c r="A78" s="2" t="s">
        <v>587</v>
      </c>
      <c r="B78" s="2" t="s">
        <v>6</v>
      </c>
      <c r="C78" s="3" t="s">
        <v>178</v>
      </c>
      <c r="D78" s="8" t="s">
        <v>179</v>
      </c>
      <c r="E78" s="2" t="s">
        <v>14</v>
      </c>
      <c r="F78" s="2" t="s">
        <v>10</v>
      </c>
      <c r="G78" s="2" t="s">
        <v>11</v>
      </c>
      <c r="H78" s="9" t="str">
        <f t="shared" si="2"/>
        <v>(Turdus leucomelas)</v>
      </c>
      <c r="I78" s="2" t="s">
        <v>511</v>
      </c>
      <c r="J78" s="2" t="str">
        <f t="shared" si="1"/>
        <v>Sabiá Barranco - (Turdus leucomelas)</v>
      </c>
    </row>
    <row r="79" spans="1:10" ht="12.75" hidden="1">
      <c r="A79" s="2" t="s">
        <v>588</v>
      </c>
      <c r="B79" s="2" t="s">
        <v>6</v>
      </c>
      <c r="C79" s="3" t="s">
        <v>180</v>
      </c>
      <c r="D79" s="8" t="s">
        <v>181</v>
      </c>
      <c r="E79" s="2" t="s">
        <v>14</v>
      </c>
      <c r="F79" s="2" t="s">
        <v>10</v>
      </c>
      <c r="G79" s="2" t="s">
        <v>11</v>
      </c>
      <c r="H79" s="9" t="str">
        <f t="shared" si="2"/>
        <v>(Mimus saturninus)</v>
      </c>
      <c r="I79" s="2" t="s">
        <v>511</v>
      </c>
      <c r="J79" s="2" t="str">
        <f t="shared" si="1"/>
        <v>Sabiá do Campo - (Mimus saturninus)</v>
      </c>
    </row>
    <row r="80" spans="1:10" ht="12.75" hidden="1">
      <c r="A80" s="2" t="s">
        <v>589</v>
      </c>
      <c r="B80" s="2" t="s">
        <v>6</v>
      </c>
      <c r="C80" s="3" t="s">
        <v>182</v>
      </c>
      <c r="D80" s="8" t="s">
        <v>183</v>
      </c>
      <c r="E80" s="2" t="s">
        <v>14</v>
      </c>
      <c r="F80" s="2" t="s">
        <v>10</v>
      </c>
      <c r="G80" s="2" t="s">
        <v>11</v>
      </c>
      <c r="H80" s="9" t="str">
        <f t="shared" si="2"/>
        <v>(Turdus rufiventris)</v>
      </c>
      <c r="I80" s="2" t="s">
        <v>511</v>
      </c>
      <c r="J80" s="2" t="str">
        <f t="shared" si="1"/>
        <v>Sabiá Laranjeira - (Turdus rufiventris)</v>
      </c>
    </row>
    <row r="81" spans="1:10" ht="12.75" hidden="1">
      <c r="A81" s="2" t="s">
        <v>590</v>
      </c>
      <c r="B81" s="2" t="s">
        <v>6</v>
      </c>
      <c r="C81" s="3" t="s">
        <v>184</v>
      </c>
      <c r="D81" s="8" t="s">
        <v>185</v>
      </c>
      <c r="E81" s="2" t="s">
        <v>14</v>
      </c>
      <c r="F81" s="2" t="s">
        <v>10</v>
      </c>
      <c r="G81" s="2" t="s">
        <v>11</v>
      </c>
      <c r="H81" s="9" t="str">
        <f t="shared" si="2"/>
        <v>(Tangara cayana)</v>
      </c>
      <c r="I81" s="2" t="s">
        <v>511</v>
      </c>
      <c r="J81" s="2" t="str">
        <f t="shared" si="1"/>
        <v>Saíra Amarela - (Tangara cayana)</v>
      </c>
    </row>
    <row r="82" spans="1:10" ht="12.75" hidden="1">
      <c r="A82" s="2" t="s">
        <v>591</v>
      </c>
      <c r="B82" s="2" t="s">
        <v>6</v>
      </c>
      <c r="C82" s="3" t="s">
        <v>186</v>
      </c>
      <c r="D82" s="8" t="s">
        <v>187</v>
      </c>
      <c r="E82" s="2" t="s">
        <v>14</v>
      </c>
      <c r="F82" s="2" t="s">
        <v>10</v>
      </c>
      <c r="G82" s="2" t="s">
        <v>11</v>
      </c>
      <c r="H82" s="9" t="str">
        <f t="shared" si="2"/>
        <v>(Thraupis sayaca)</v>
      </c>
      <c r="I82" s="2" t="s">
        <v>511</v>
      </c>
      <c r="J82" s="2" t="str">
        <f t="shared" si="1"/>
        <v>Sanhaço Cinzento - (Thraupis sayaca)</v>
      </c>
    </row>
    <row r="83" spans="1:10" ht="12.75" hidden="1">
      <c r="A83" s="2" t="s">
        <v>592</v>
      </c>
      <c r="B83" s="2" t="s">
        <v>6</v>
      </c>
      <c r="C83" s="3" t="s">
        <v>188</v>
      </c>
      <c r="D83" s="8" t="s">
        <v>189</v>
      </c>
      <c r="E83" s="2" t="s">
        <v>14</v>
      </c>
      <c r="F83" s="2" t="s">
        <v>10</v>
      </c>
      <c r="G83" s="2" t="s">
        <v>11</v>
      </c>
      <c r="H83" s="9" t="str">
        <f t="shared" si="2"/>
        <v>(Thraupis palmarum)</v>
      </c>
      <c r="I83" s="2" t="s">
        <v>511</v>
      </c>
      <c r="J83" s="2" t="str">
        <f t="shared" si="1"/>
        <v>Sanhaço Coqueiro - (Thraupis palmarum)</v>
      </c>
    </row>
    <row r="84" spans="1:10" ht="12.75" hidden="1">
      <c r="A84" s="2" t="s">
        <v>593</v>
      </c>
      <c r="B84" s="2" t="s">
        <v>6</v>
      </c>
      <c r="C84" s="3" t="s">
        <v>190</v>
      </c>
      <c r="D84" s="8" t="s">
        <v>191</v>
      </c>
      <c r="E84" s="2" t="s">
        <v>94</v>
      </c>
      <c r="F84" s="2" t="s">
        <v>10</v>
      </c>
      <c r="G84" s="2" t="s">
        <v>11</v>
      </c>
      <c r="H84" s="9" t="str">
        <f t="shared" si="2"/>
        <v>(Aramides saracura)</v>
      </c>
      <c r="I84" s="2" t="s">
        <v>511</v>
      </c>
      <c r="J84" s="2" t="str">
        <f t="shared" si="1"/>
        <v>Saracura - (Aramides saracura)</v>
      </c>
    </row>
    <row r="85" spans="1:10" ht="12.75" hidden="1">
      <c r="A85" s="2" t="s">
        <v>594</v>
      </c>
      <c r="B85" s="2" t="s">
        <v>6</v>
      </c>
      <c r="C85" s="3" t="s">
        <v>192</v>
      </c>
      <c r="D85" s="8" t="s">
        <v>193</v>
      </c>
      <c r="E85" s="2" t="s">
        <v>123</v>
      </c>
      <c r="F85" s="2" t="s">
        <v>10</v>
      </c>
      <c r="G85" s="2" t="s">
        <v>11</v>
      </c>
      <c r="H85" s="9" t="str">
        <f t="shared" si="2"/>
        <v>(Cariama cristata)</v>
      </c>
      <c r="I85" s="2" t="s">
        <v>511</v>
      </c>
      <c r="J85" s="2" t="str">
        <f t="shared" si="1"/>
        <v>Seriema - (Cariama cristata)</v>
      </c>
    </row>
    <row r="86" spans="1:10" ht="12.75" hidden="1">
      <c r="A86" s="2" t="s">
        <v>595</v>
      </c>
      <c r="B86" s="2" t="s">
        <v>6</v>
      </c>
      <c r="C86" s="3" t="s">
        <v>194</v>
      </c>
      <c r="D86" s="8" t="s">
        <v>195</v>
      </c>
      <c r="E86" s="2" t="s">
        <v>51</v>
      </c>
      <c r="F86" s="2" t="s">
        <v>10</v>
      </c>
      <c r="G86" s="2" t="s">
        <v>11</v>
      </c>
      <c r="H86" s="9" t="str">
        <f t="shared" si="2"/>
        <v>(Botaurus pinnatus)</v>
      </c>
      <c r="I86" s="2" t="s">
        <v>511</v>
      </c>
      <c r="J86" s="2" t="str">
        <f t="shared" si="1"/>
        <v>Socó - (Botaurus pinnatus)</v>
      </c>
    </row>
    <row r="87" spans="1:10" ht="12.75" hidden="1">
      <c r="A87" s="2" t="s">
        <v>596</v>
      </c>
      <c r="B87" s="2" t="s">
        <v>6</v>
      </c>
      <c r="C87" s="3" t="s">
        <v>196</v>
      </c>
      <c r="D87" s="8" t="s">
        <v>197</v>
      </c>
      <c r="E87" s="2" t="s">
        <v>14</v>
      </c>
      <c r="F87" s="2" t="s">
        <v>10</v>
      </c>
      <c r="G87" s="2" t="s">
        <v>11</v>
      </c>
      <c r="H87" s="9" t="str">
        <f t="shared" si="2"/>
        <v>(Tyrannidae)</v>
      </c>
      <c r="I87" s="2" t="s">
        <v>511</v>
      </c>
      <c r="J87" s="2" t="str">
        <f t="shared" si="1"/>
        <v>Suiriri Cavaleiro - (Tyrannidae)</v>
      </c>
    </row>
    <row r="88" spans="1:10" ht="12.75" hidden="1">
      <c r="A88" s="2" t="s">
        <v>597</v>
      </c>
      <c r="B88" s="2" t="s">
        <v>6</v>
      </c>
      <c r="C88" s="3" t="s">
        <v>198</v>
      </c>
      <c r="D88" s="8" t="s">
        <v>13</v>
      </c>
      <c r="E88" s="2" t="s">
        <v>14</v>
      </c>
      <c r="F88" s="2" t="s">
        <v>10</v>
      </c>
      <c r="G88" s="2" t="s">
        <v>11</v>
      </c>
      <c r="H88" s="9" t="str">
        <f t="shared" si="2"/>
        <v>(Tyrannus savana)</v>
      </c>
      <c r="I88" s="2" t="s">
        <v>511</v>
      </c>
      <c r="J88" s="2" t="str">
        <f t="shared" si="1"/>
        <v>Tesourinha - (Tyrannus savana)</v>
      </c>
    </row>
    <row r="89" spans="1:10" ht="12.75" hidden="1">
      <c r="A89" s="2" t="s">
        <v>598</v>
      </c>
      <c r="B89" s="2" t="s">
        <v>6</v>
      </c>
      <c r="C89" s="3" t="s">
        <v>199</v>
      </c>
      <c r="D89" s="8" t="s">
        <v>200</v>
      </c>
      <c r="E89" s="2" t="s">
        <v>14</v>
      </c>
      <c r="F89" s="2" t="s">
        <v>10</v>
      </c>
      <c r="G89" s="2" t="s">
        <v>11</v>
      </c>
      <c r="H89" s="9" t="str">
        <f t="shared" si="2"/>
        <v>(Coryphospingus ptleatus)</v>
      </c>
      <c r="I89" s="2" t="s">
        <v>511</v>
      </c>
      <c r="J89" s="2" t="str">
        <f t="shared" si="1"/>
        <v>Tico Tico Rei - (Coryphospingus ptleatus)</v>
      </c>
    </row>
    <row r="90" spans="1:10" ht="12.75" hidden="1">
      <c r="A90" s="2" t="s">
        <v>599</v>
      </c>
      <c r="B90" s="2" t="s">
        <v>6</v>
      </c>
      <c r="C90" s="3" t="s">
        <v>201</v>
      </c>
      <c r="D90" s="8" t="s">
        <v>202</v>
      </c>
      <c r="E90" s="2" t="s">
        <v>14</v>
      </c>
      <c r="F90" s="2" t="s">
        <v>10</v>
      </c>
      <c r="G90" s="2" t="s">
        <v>11</v>
      </c>
      <c r="H90" s="9" t="str">
        <f t="shared" si="2"/>
        <v>(Volatinia jacarina)</v>
      </c>
      <c r="I90" s="2" t="s">
        <v>511</v>
      </c>
      <c r="J90" s="2" t="str">
        <f t="shared" si="1"/>
        <v>Tiziu - (Volatinia jacarina)</v>
      </c>
    </row>
    <row r="91" spans="1:10" ht="12.75" hidden="1">
      <c r="A91" s="2" t="s">
        <v>600</v>
      </c>
      <c r="B91" s="2" t="s">
        <v>6</v>
      </c>
      <c r="C91" s="3" t="s">
        <v>203</v>
      </c>
      <c r="D91" s="8" t="s">
        <v>204</v>
      </c>
      <c r="E91" s="2" t="s">
        <v>14</v>
      </c>
      <c r="F91" s="2" t="s">
        <v>10</v>
      </c>
      <c r="G91" s="2" t="s">
        <v>11</v>
      </c>
      <c r="H91" s="9" t="str">
        <f t="shared" si="2"/>
        <v>(Saltator maximus)</v>
      </c>
      <c r="I91" s="2" t="s">
        <v>511</v>
      </c>
      <c r="J91" s="2" t="str">
        <f t="shared" si="1"/>
        <v>Trinca Ferro - (Saltator maximus)</v>
      </c>
    </row>
    <row r="92" spans="1:10" ht="12.75" hidden="1">
      <c r="A92" s="2" t="s">
        <v>601</v>
      </c>
      <c r="B92" s="2" t="s">
        <v>6</v>
      </c>
      <c r="C92" s="3" t="s">
        <v>205</v>
      </c>
      <c r="D92" s="8" t="s">
        <v>206</v>
      </c>
      <c r="E92" s="2" t="s">
        <v>21</v>
      </c>
      <c r="F92" s="2" t="s">
        <v>10</v>
      </c>
      <c r="G92" s="2" t="s">
        <v>11</v>
      </c>
      <c r="H92" s="9" t="str">
        <f t="shared" si="2"/>
        <v>(Ramphastos toco)</v>
      </c>
      <c r="I92" s="2" t="s">
        <v>511</v>
      </c>
      <c r="J92" s="2" t="str">
        <f t="shared" si="1"/>
        <v>Tucano - (Ramphastos toco)</v>
      </c>
    </row>
    <row r="93" spans="1:10" ht="12.75" hidden="1">
      <c r="A93" s="2" t="s">
        <v>602</v>
      </c>
      <c r="B93" s="2" t="s">
        <v>6</v>
      </c>
      <c r="C93" s="3" t="s">
        <v>207</v>
      </c>
      <c r="D93" s="8" t="s">
        <v>208</v>
      </c>
      <c r="E93" s="2" t="s">
        <v>24</v>
      </c>
      <c r="F93" s="2" t="s">
        <v>10</v>
      </c>
      <c r="G93" s="2" t="s">
        <v>11</v>
      </c>
      <c r="H93" s="9" t="str">
        <f t="shared" si="2"/>
        <v>(Forpus xanthopterygius)</v>
      </c>
      <c r="I93" s="2" t="s">
        <v>511</v>
      </c>
      <c r="J93" s="2" t="str">
        <f t="shared" si="1"/>
        <v>Tuim - (Forpus xanthopterygius)</v>
      </c>
    </row>
    <row r="94" spans="1:10" ht="12.75" hidden="1">
      <c r="A94" s="2" t="s">
        <v>603</v>
      </c>
      <c r="B94" s="2" t="s">
        <v>6</v>
      </c>
      <c r="C94" s="3" t="s">
        <v>209</v>
      </c>
      <c r="D94" s="8" t="s">
        <v>210</v>
      </c>
      <c r="E94" s="2" t="s">
        <v>211</v>
      </c>
      <c r="F94" s="2" t="s">
        <v>10</v>
      </c>
      <c r="G94" s="2" t="s">
        <v>11</v>
      </c>
      <c r="H94" s="9" t="str">
        <f t="shared" si="2"/>
        <v>(Coragyps atratus)</v>
      </c>
      <c r="I94" s="2" t="s">
        <v>511</v>
      </c>
      <c r="J94" s="2" t="str">
        <f t="shared" si="1"/>
        <v>Urubu - (Coragyps atratus)</v>
      </c>
    </row>
    <row r="95" spans="1:10" ht="12.75" hidden="1">
      <c r="A95" s="2" t="s">
        <v>604</v>
      </c>
      <c r="B95" s="2" t="s">
        <v>6</v>
      </c>
      <c r="C95" s="3" t="s">
        <v>212</v>
      </c>
      <c r="D95" s="8" t="s">
        <v>213</v>
      </c>
      <c r="E95" s="2" t="s">
        <v>214</v>
      </c>
      <c r="F95" s="2" t="s">
        <v>10</v>
      </c>
      <c r="G95" s="2" t="s">
        <v>11</v>
      </c>
      <c r="H95" s="9" t="str">
        <f t="shared" si="2"/>
        <v>(Nyctibius griseus)</v>
      </c>
      <c r="I95" s="2" t="s">
        <v>511</v>
      </c>
      <c r="J95" s="2" t="str">
        <f t="shared" si="1"/>
        <v>Urutau - (Nyctibius griseus)</v>
      </c>
    </row>
    <row r="96" spans="1:10" ht="12.75" hidden="1">
      <c r="A96" s="2" t="s">
        <v>605</v>
      </c>
      <c r="B96" s="2" t="s">
        <v>6</v>
      </c>
      <c r="C96" s="3" t="s">
        <v>215</v>
      </c>
      <c r="D96" s="8" t="s">
        <v>216</v>
      </c>
      <c r="E96" s="2" t="s">
        <v>99</v>
      </c>
      <c r="F96" s="2" t="s">
        <v>10</v>
      </c>
      <c r="G96" s="2" t="s">
        <v>11</v>
      </c>
      <c r="H96" s="9" t="str">
        <f t="shared" si="2"/>
        <v>(Cacicus cela)</v>
      </c>
      <c r="I96" s="2" t="s">
        <v>511</v>
      </c>
      <c r="J96" s="2" t="str">
        <f t="shared" si="1"/>
        <v>Xexéu - (Cacicus cela)</v>
      </c>
    </row>
    <row r="97" spans="1:10" ht="12.75" hidden="1">
      <c r="A97" s="2" t="s">
        <v>606</v>
      </c>
      <c r="B97" s="2" t="s">
        <v>217</v>
      </c>
      <c r="C97" s="3" t="s">
        <v>218</v>
      </c>
      <c r="D97" s="8" t="s">
        <v>219</v>
      </c>
      <c r="E97" s="2" t="s">
        <v>220</v>
      </c>
      <c r="F97" s="2" t="s">
        <v>25</v>
      </c>
      <c r="G97" s="2" t="s">
        <v>11</v>
      </c>
      <c r="H97" s="9" t="str">
        <f t="shared" si="2"/>
        <v>(Tapirus terrestris)</v>
      </c>
      <c r="I97" s="2" t="s">
        <v>511</v>
      </c>
      <c r="J97" s="2" t="str">
        <f t="shared" si="1"/>
        <v>Anta - (Tapirus terrestris)</v>
      </c>
    </row>
    <row r="98" spans="1:10" ht="12.75" hidden="1">
      <c r="A98" s="2" t="s">
        <v>607</v>
      </c>
      <c r="B98" s="2" t="s">
        <v>217</v>
      </c>
      <c r="C98" s="3" t="s">
        <v>221</v>
      </c>
      <c r="D98" s="8" t="s">
        <v>222</v>
      </c>
      <c r="E98" s="2" t="s">
        <v>223</v>
      </c>
      <c r="F98" s="2" t="s">
        <v>10</v>
      </c>
      <c r="G98" s="2" t="s">
        <v>11</v>
      </c>
      <c r="H98" s="9" t="str">
        <f t="shared" si="2"/>
        <v>(Bradypus variegatus)</v>
      </c>
      <c r="I98" s="2" t="s">
        <v>511</v>
      </c>
      <c r="J98" s="2" t="str">
        <f t="shared" si="1"/>
        <v>Bicho preguiça - (Bradypus variegatus)</v>
      </c>
    </row>
    <row r="99" spans="1:10" ht="12.75" hidden="1">
      <c r="A99" s="2" t="s">
        <v>608</v>
      </c>
      <c r="B99" s="2" t="s">
        <v>217</v>
      </c>
      <c r="C99" s="3" t="s">
        <v>224</v>
      </c>
      <c r="D99" s="8" t="s">
        <v>225</v>
      </c>
      <c r="E99" s="2" t="s">
        <v>226</v>
      </c>
      <c r="F99" s="2" t="s">
        <v>25</v>
      </c>
      <c r="G99" s="2" t="s">
        <v>11</v>
      </c>
      <c r="H99" s="9" t="str">
        <f t="shared" si="2"/>
        <v>(Alouatta guariba)</v>
      </c>
      <c r="I99" s="2" t="s">
        <v>511</v>
      </c>
      <c r="J99" s="2" t="str">
        <f t="shared" si="1"/>
        <v>Bugio/Guariba - (Alouatta guariba)</v>
      </c>
    </row>
    <row r="100" spans="1:10" ht="12.75" hidden="1">
      <c r="A100" s="2" t="s">
        <v>609</v>
      </c>
      <c r="B100" s="2" t="s">
        <v>217</v>
      </c>
      <c r="C100" s="3" t="s">
        <v>227</v>
      </c>
      <c r="D100" s="8" t="s">
        <v>228</v>
      </c>
      <c r="E100" s="2" t="s">
        <v>229</v>
      </c>
      <c r="F100" s="2" t="s">
        <v>10</v>
      </c>
      <c r="G100" s="2" t="s">
        <v>11</v>
      </c>
      <c r="H100" s="9" t="str">
        <f t="shared" si="2"/>
        <v>(Cerdocyon thous)</v>
      </c>
      <c r="I100" s="2" t="s">
        <v>511</v>
      </c>
      <c r="J100" s="2" t="str">
        <f t="shared" si="1"/>
        <v>Cachorro do mato - (Cerdocyon thous)</v>
      </c>
    </row>
    <row r="101" spans="1:10" ht="12.75" hidden="1">
      <c r="A101" s="2" t="s">
        <v>610</v>
      </c>
      <c r="B101" s="2" t="s">
        <v>217</v>
      </c>
      <c r="C101" s="3" t="s">
        <v>230</v>
      </c>
      <c r="D101" s="8" t="s">
        <v>231</v>
      </c>
      <c r="E101" s="2" t="s">
        <v>229</v>
      </c>
      <c r="F101" s="2" t="s">
        <v>10</v>
      </c>
      <c r="G101" s="2" t="s">
        <v>42</v>
      </c>
      <c r="H101" s="9" t="str">
        <f t="shared" si="2"/>
        <v>(Canis lupus familiaris)</v>
      </c>
      <c r="I101" s="2" t="s">
        <v>511</v>
      </c>
      <c r="J101" s="2" t="str">
        <f t="shared" si="1"/>
        <v>Cachorro doméstico - (Canis lupus familiaris)</v>
      </c>
    </row>
    <row r="102" spans="1:10" ht="12.75" hidden="1">
      <c r="A102" s="2" t="s">
        <v>611</v>
      </c>
      <c r="B102" s="2" t="s">
        <v>217</v>
      </c>
      <c r="C102" s="3" t="s">
        <v>232</v>
      </c>
      <c r="D102" s="8" t="s">
        <v>233</v>
      </c>
      <c r="E102" s="2" t="s">
        <v>229</v>
      </c>
      <c r="F102" s="2" t="s">
        <v>234</v>
      </c>
      <c r="G102" s="2" t="s">
        <v>11</v>
      </c>
      <c r="H102" s="9" t="str">
        <f t="shared" si="2"/>
        <v>(Speothos venaticus)</v>
      </c>
      <c r="I102" s="2" t="s">
        <v>511</v>
      </c>
      <c r="J102" s="2" t="str">
        <f t="shared" si="1"/>
        <v>Cachorro vinagre - (Speothos venaticus)</v>
      </c>
    </row>
    <row r="103" spans="1:10" ht="12.75" hidden="1">
      <c r="A103" s="2" t="s">
        <v>612</v>
      </c>
      <c r="B103" s="2" t="s">
        <v>217</v>
      </c>
      <c r="C103" s="3" t="s">
        <v>235</v>
      </c>
      <c r="D103" s="8" t="s">
        <v>236</v>
      </c>
      <c r="E103" s="2" t="s">
        <v>237</v>
      </c>
      <c r="F103" s="2" t="s">
        <v>10</v>
      </c>
      <c r="G103" s="2" t="s">
        <v>11</v>
      </c>
      <c r="H103" s="9" t="str">
        <f t="shared" si="2"/>
        <v>(Hydrochoerus hydrochaeris)</v>
      </c>
      <c r="I103" s="2" t="s">
        <v>511</v>
      </c>
      <c r="J103" s="2" t="str">
        <f t="shared" si="1"/>
        <v>Capivara - (Hydrochoerus hydrochaeris)</v>
      </c>
    </row>
    <row r="104" spans="1:10" ht="12.75" hidden="1">
      <c r="A104" s="2" t="s">
        <v>613</v>
      </c>
      <c r="B104" s="2" t="s">
        <v>217</v>
      </c>
      <c r="C104" s="3" t="s">
        <v>238</v>
      </c>
      <c r="D104" s="8" t="s">
        <v>239</v>
      </c>
      <c r="E104" s="2" t="s">
        <v>240</v>
      </c>
      <c r="F104" s="2" t="s">
        <v>10</v>
      </c>
      <c r="G104" s="2" t="s">
        <v>11</v>
      </c>
      <c r="H104" s="9" t="str">
        <f t="shared" si="2"/>
        <v>(Pecari tajacu)</v>
      </c>
      <c r="I104" s="2" t="s">
        <v>511</v>
      </c>
      <c r="J104" s="2" t="str">
        <f t="shared" si="1"/>
        <v>Catitu - (Pecari tajacu)</v>
      </c>
    </row>
    <row r="105" spans="1:10" ht="12.75" hidden="1">
      <c r="A105" s="2" t="s">
        <v>614</v>
      </c>
      <c r="B105" s="2" t="s">
        <v>217</v>
      </c>
      <c r="C105" s="3" t="s">
        <v>241</v>
      </c>
      <c r="D105" s="8" t="s">
        <v>242</v>
      </c>
      <c r="E105" s="2" t="s">
        <v>220</v>
      </c>
      <c r="F105" s="2" t="s">
        <v>10</v>
      </c>
      <c r="G105" s="2" t="s">
        <v>42</v>
      </c>
      <c r="H105" s="9" t="str">
        <f t="shared" si="2"/>
        <v>(Equus caballus)</v>
      </c>
      <c r="I105" s="2" t="s">
        <v>511</v>
      </c>
      <c r="J105" s="2" t="str">
        <f t="shared" si="1"/>
        <v>Cavalo - (Equus caballus)</v>
      </c>
    </row>
    <row r="106" spans="1:10" ht="12.75" hidden="1">
      <c r="A106" s="2" t="s">
        <v>615</v>
      </c>
      <c r="B106" s="2" t="s">
        <v>217</v>
      </c>
      <c r="C106" s="3" t="s">
        <v>243</v>
      </c>
      <c r="D106" s="8" t="s">
        <v>244</v>
      </c>
      <c r="E106" s="2" t="s">
        <v>237</v>
      </c>
      <c r="F106" s="2" t="s">
        <v>10</v>
      </c>
      <c r="G106" s="2" t="s">
        <v>42</v>
      </c>
      <c r="H106" s="9" t="str">
        <f t="shared" si="2"/>
        <v>(Chinchilla lanigera)</v>
      </c>
      <c r="I106" s="2" t="s">
        <v>511</v>
      </c>
      <c r="J106" s="2" t="str">
        <f t="shared" si="1"/>
        <v>Chinchila - (Chinchilla lanigera)</v>
      </c>
    </row>
    <row r="107" spans="1:10" ht="12.75" hidden="1">
      <c r="A107" s="2" t="s">
        <v>616</v>
      </c>
      <c r="B107" s="2" t="s">
        <v>217</v>
      </c>
      <c r="C107" s="3" t="s">
        <v>245</v>
      </c>
      <c r="D107" s="8" t="s">
        <v>246</v>
      </c>
      <c r="E107" s="2" t="s">
        <v>247</v>
      </c>
      <c r="F107" s="2" t="s">
        <v>10</v>
      </c>
      <c r="G107" s="2" t="s">
        <v>11</v>
      </c>
      <c r="H107" s="9" t="str">
        <f t="shared" si="2"/>
        <v>(Philander opossum)</v>
      </c>
      <c r="I107" s="2" t="s">
        <v>511</v>
      </c>
      <c r="J107" s="2" t="str">
        <f t="shared" si="1"/>
        <v>Cuíca verdadeiro - (Philander opossum)</v>
      </c>
    </row>
    <row r="108" spans="1:10" ht="12.75" hidden="1">
      <c r="A108" s="2" t="s">
        <v>617</v>
      </c>
      <c r="B108" s="2" t="s">
        <v>217</v>
      </c>
      <c r="C108" s="3" t="s">
        <v>248</v>
      </c>
      <c r="D108" s="8" t="s">
        <v>249</v>
      </c>
      <c r="E108" s="2" t="s">
        <v>237</v>
      </c>
      <c r="F108" s="2" t="s">
        <v>10</v>
      </c>
      <c r="G108" s="2" t="s">
        <v>11</v>
      </c>
      <c r="H108" s="9" t="str">
        <f t="shared" si="2"/>
        <v>(Dasyprocta leporina)</v>
      </c>
      <c r="I108" s="2" t="s">
        <v>511</v>
      </c>
      <c r="J108" s="2" t="str">
        <f t="shared" si="1"/>
        <v>Cutia - (Dasyprocta leporina)</v>
      </c>
    </row>
    <row r="109" spans="1:10" ht="12.75" hidden="1">
      <c r="A109" s="2" t="s">
        <v>618</v>
      </c>
      <c r="B109" s="2" t="s">
        <v>217</v>
      </c>
      <c r="C109" s="3" t="s">
        <v>250</v>
      </c>
      <c r="D109" s="8" t="s">
        <v>251</v>
      </c>
      <c r="E109" s="2" t="s">
        <v>229</v>
      </c>
      <c r="F109" s="2" t="s">
        <v>10</v>
      </c>
      <c r="G109" s="2" t="s">
        <v>42</v>
      </c>
      <c r="H109" s="9" t="str">
        <f t="shared" si="2"/>
        <v>(Mustela putorius furo)</v>
      </c>
      <c r="I109" s="2" t="s">
        <v>511</v>
      </c>
      <c r="J109" s="2" t="str">
        <f t="shared" si="1"/>
        <v>Furão - (Mustela putorius furo)</v>
      </c>
    </row>
    <row r="110" spans="1:10" ht="12.75" hidden="1">
      <c r="A110" s="2" t="s">
        <v>619</v>
      </c>
      <c r="B110" s="2" t="s">
        <v>217</v>
      </c>
      <c r="C110" s="3" t="s">
        <v>252</v>
      </c>
      <c r="D110" s="8" t="s">
        <v>253</v>
      </c>
      <c r="E110" s="2" t="s">
        <v>229</v>
      </c>
      <c r="F110" s="2" t="s">
        <v>25</v>
      </c>
      <c r="G110" s="2" t="s">
        <v>11</v>
      </c>
      <c r="H110" s="9" t="str">
        <f t="shared" si="2"/>
        <v>(Leopardus tigrinus)</v>
      </c>
      <c r="I110" s="2" t="s">
        <v>511</v>
      </c>
      <c r="J110" s="2" t="str">
        <f t="shared" si="1"/>
        <v>Gato do mato - (Leopardus tigrinus)</v>
      </c>
    </row>
    <row r="111" spans="1:10" ht="12.75" hidden="1">
      <c r="A111" s="2" t="s">
        <v>620</v>
      </c>
      <c r="B111" s="2" t="s">
        <v>217</v>
      </c>
      <c r="C111" s="3" t="s">
        <v>254</v>
      </c>
      <c r="D111" s="8" t="s">
        <v>255</v>
      </c>
      <c r="E111" s="2" t="s">
        <v>229</v>
      </c>
      <c r="F111" s="2" t="s">
        <v>25</v>
      </c>
      <c r="G111" s="2" t="s">
        <v>11</v>
      </c>
      <c r="H111" s="9" t="str">
        <f t="shared" si="2"/>
        <v>(Leopardus guttulus)</v>
      </c>
      <c r="I111" s="2" t="s">
        <v>511</v>
      </c>
      <c r="J111" s="2" t="str">
        <f t="shared" si="1"/>
        <v>Gato do mato pequeno - (Leopardus guttulus)</v>
      </c>
    </row>
    <row r="112" spans="1:10" ht="12.75" hidden="1">
      <c r="A112" s="2" t="s">
        <v>621</v>
      </c>
      <c r="B112" s="2" t="s">
        <v>217</v>
      </c>
      <c r="C112" s="3" t="s">
        <v>256</v>
      </c>
      <c r="D112" s="8" t="s">
        <v>257</v>
      </c>
      <c r="E112" s="2" t="s">
        <v>229</v>
      </c>
      <c r="F112" s="2" t="s">
        <v>10</v>
      </c>
      <c r="G112" s="2" t="s">
        <v>42</v>
      </c>
      <c r="H112" s="9" t="str">
        <f t="shared" si="2"/>
        <v>(Procyon lotor)</v>
      </c>
      <c r="I112" s="2" t="s">
        <v>511</v>
      </c>
      <c r="J112" s="2" t="str">
        <f t="shared" si="1"/>
        <v>Guaxinim - (Procyon lotor)</v>
      </c>
    </row>
    <row r="113" spans="1:10" ht="12.75" hidden="1">
      <c r="A113" s="2" t="s">
        <v>622</v>
      </c>
      <c r="B113" s="2" t="s">
        <v>217</v>
      </c>
      <c r="C113" s="3" t="s">
        <v>258</v>
      </c>
      <c r="D113" s="8" t="s">
        <v>259</v>
      </c>
      <c r="E113" s="2" t="s">
        <v>229</v>
      </c>
      <c r="F113" s="2" t="s">
        <v>234</v>
      </c>
      <c r="G113" s="2" t="s">
        <v>11</v>
      </c>
      <c r="H113" s="9" t="str">
        <f t="shared" si="2"/>
        <v>(Puma yagouaroundi)</v>
      </c>
      <c r="I113" s="2" t="s">
        <v>511</v>
      </c>
      <c r="J113" s="2" t="str">
        <f t="shared" si="1"/>
        <v>Jaguarundi - (Puma yagouaroundi)</v>
      </c>
    </row>
    <row r="114" spans="1:10" ht="12.75" hidden="1">
      <c r="A114" s="2" t="s">
        <v>623</v>
      </c>
      <c r="B114" s="2" t="s">
        <v>217</v>
      </c>
      <c r="C114" s="3" t="s">
        <v>260</v>
      </c>
      <c r="D114" s="8" t="s">
        <v>261</v>
      </c>
      <c r="E114" s="2" t="s">
        <v>229</v>
      </c>
      <c r="F114" s="2" t="s">
        <v>234</v>
      </c>
      <c r="G114" s="2" t="s">
        <v>11</v>
      </c>
      <c r="H114" s="9" t="str">
        <f t="shared" si="2"/>
        <v>(Leopardus pardalis)</v>
      </c>
      <c r="I114" s="2" t="s">
        <v>511</v>
      </c>
      <c r="J114" s="2" t="str">
        <f t="shared" si="1"/>
        <v>Jaguatirica - (Leopardus pardalis)</v>
      </c>
    </row>
    <row r="115" spans="1:10" ht="12.75" hidden="1">
      <c r="A115" s="2" t="s">
        <v>624</v>
      </c>
      <c r="B115" s="2" t="s">
        <v>217</v>
      </c>
      <c r="C115" s="3" t="s">
        <v>262</v>
      </c>
      <c r="D115" s="8" t="s">
        <v>263</v>
      </c>
      <c r="E115" s="2" t="s">
        <v>229</v>
      </c>
      <c r="F115" s="2" t="s">
        <v>10</v>
      </c>
      <c r="G115" s="2" t="s">
        <v>11</v>
      </c>
      <c r="H115" s="9" t="str">
        <f t="shared" si="2"/>
        <v>(Conepatus semistriatus)</v>
      </c>
      <c r="I115" s="2" t="s">
        <v>511</v>
      </c>
      <c r="J115" s="2" t="str">
        <f t="shared" si="1"/>
        <v>Jaritataca - (Conepatus semistriatus)</v>
      </c>
    </row>
    <row r="116" spans="1:10" ht="12.75" hidden="1">
      <c r="A116" s="2" t="s">
        <v>625</v>
      </c>
      <c r="B116" s="2" t="s">
        <v>217</v>
      </c>
      <c r="C116" s="3" t="s">
        <v>264</v>
      </c>
      <c r="D116" s="8" t="s">
        <v>265</v>
      </c>
      <c r="E116" s="2" t="s">
        <v>229</v>
      </c>
      <c r="F116" s="2" t="s">
        <v>25</v>
      </c>
      <c r="G116" s="2" t="s">
        <v>11</v>
      </c>
      <c r="H116" s="9" t="str">
        <f t="shared" si="2"/>
        <v>(Chrysocyon brachyurus)</v>
      </c>
      <c r="I116" s="2" t="s">
        <v>511</v>
      </c>
      <c r="J116" s="2" t="str">
        <f t="shared" si="1"/>
        <v>Lobo guará - (Chrysocyon brachyurus)</v>
      </c>
    </row>
    <row r="117" spans="1:10" ht="12.75" hidden="1">
      <c r="A117" s="2" t="s">
        <v>626</v>
      </c>
      <c r="B117" s="2" t="s">
        <v>217</v>
      </c>
      <c r="C117" s="3" t="s">
        <v>266</v>
      </c>
      <c r="D117" s="8" t="s">
        <v>267</v>
      </c>
      <c r="E117" s="2" t="s">
        <v>229</v>
      </c>
      <c r="F117" s="2" t="s">
        <v>10</v>
      </c>
      <c r="G117" s="2" t="s">
        <v>11</v>
      </c>
      <c r="H117" s="9" t="str">
        <f t="shared" si="2"/>
        <v>(Lontra longicaubis)</v>
      </c>
      <c r="I117" s="2" t="s">
        <v>511</v>
      </c>
      <c r="J117" s="2" t="str">
        <f t="shared" si="1"/>
        <v>Lontra - (Lontra longicaubis)</v>
      </c>
    </row>
    <row r="118" spans="1:10" ht="12.75" hidden="1">
      <c r="A118" s="2" t="s">
        <v>627</v>
      </c>
      <c r="B118" s="2" t="s">
        <v>217</v>
      </c>
      <c r="C118" s="3" t="s">
        <v>268</v>
      </c>
      <c r="D118" s="8" t="s">
        <v>269</v>
      </c>
      <c r="E118" s="2" t="s">
        <v>226</v>
      </c>
      <c r="F118" s="2" t="s">
        <v>10</v>
      </c>
      <c r="G118" s="2" t="s">
        <v>42</v>
      </c>
      <c r="H118" s="9" t="str">
        <f t="shared" si="2"/>
        <v>(Callithrix penicillata)</v>
      </c>
      <c r="I118" s="2" t="s">
        <v>511</v>
      </c>
      <c r="J118" s="2" t="str">
        <f t="shared" si="1"/>
        <v>Mico estrela - (Callithrix penicillata)</v>
      </c>
    </row>
    <row r="119" spans="1:10" ht="12.75" hidden="1">
      <c r="A119" s="2" t="s">
        <v>628</v>
      </c>
      <c r="B119" s="2" t="s">
        <v>217</v>
      </c>
      <c r="C119" s="3" t="s">
        <v>270</v>
      </c>
      <c r="D119" s="8" t="s">
        <v>271</v>
      </c>
      <c r="E119" s="2" t="s">
        <v>271</v>
      </c>
      <c r="F119" s="2" t="s">
        <v>10</v>
      </c>
      <c r="G119" s="2" t="s">
        <v>11</v>
      </c>
      <c r="H119" s="9" t="str">
        <f t="shared" si="2"/>
        <v>(Chiroptera)</v>
      </c>
      <c r="I119" s="2" t="s">
        <v>511</v>
      </c>
      <c r="J119" s="2" t="str">
        <f t="shared" si="1"/>
        <v>Morcego - (Chiroptera)</v>
      </c>
    </row>
    <row r="120" spans="1:10" ht="12.75" hidden="1">
      <c r="A120" s="2" t="s">
        <v>629</v>
      </c>
      <c r="B120" s="2" t="s">
        <v>217</v>
      </c>
      <c r="C120" s="3" t="s">
        <v>272</v>
      </c>
      <c r="D120" s="8" t="s">
        <v>273</v>
      </c>
      <c r="E120" s="2" t="s">
        <v>229</v>
      </c>
      <c r="F120" s="2" t="s">
        <v>25</v>
      </c>
      <c r="G120" s="2" t="s">
        <v>11</v>
      </c>
      <c r="H120" s="9" t="str">
        <f t="shared" si="2"/>
        <v>(Panthera onca)</v>
      </c>
      <c r="I120" s="2" t="s">
        <v>511</v>
      </c>
      <c r="J120" s="2" t="str">
        <f t="shared" si="1"/>
        <v>Onça - (Panthera onca)</v>
      </c>
    </row>
    <row r="121" spans="1:10" ht="12.75" hidden="1">
      <c r="A121" s="2" t="s">
        <v>630</v>
      </c>
      <c r="B121" s="2" t="s">
        <v>217</v>
      </c>
      <c r="C121" s="3" t="s">
        <v>274</v>
      </c>
      <c r="D121" s="8" t="s">
        <v>275</v>
      </c>
      <c r="E121" s="2" t="s">
        <v>237</v>
      </c>
      <c r="F121" s="2" t="s">
        <v>10</v>
      </c>
      <c r="G121" s="2" t="s">
        <v>11</v>
      </c>
      <c r="H121" s="9" t="str">
        <f t="shared" si="2"/>
        <v>(Cuniculus paca)</v>
      </c>
      <c r="I121" s="2" t="s">
        <v>511</v>
      </c>
      <c r="J121" s="2" t="str">
        <f t="shared" si="1"/>
        <v>Paca - (Cuniculus paca)</v>
      </c>
    </row>
    <row r="122" spans="1:10" ht="12.75" hidden="1">
      <c r="A122" s="2" t="s">
        <v>631</v>
      </c>
      <c r="B122" s="2" t="s">
        <v>217</v>
      </c>
      <c r="C122" s="3" t="s">
        <v>276</v>
      </c>
      <c r="D122" s="8" t="s">
        <v>277</v>
      </c>
      <c r="E122" s="2" t="s">
        <v>237</v>
      </c>
      <c r="F122" s="2" t="s">
        <v>10</v>
      </c>
      <c r="G122" s="2" t="s">
        <v>11</v>
      </c>
      <c r="H122" s="9" t="str">
        <f t="shared" si="2"/>
        <v>(Coendou prehensilis)</v>
      </c>
      <c r="I122" s="2" t="s">
        <v>511</v>
      </c>
      <c r="J122" s="2" t="str">
        <f t="shared" si="1"/>
        <v>Porco espinho - (Coendou prehensilis)</v>
      </c>
    </row>
    <row r="123" spans="1:10" ht="12.75" hidden="1">
      <c r="A123" s="2" t="s">
        <v>632</v>
      </c>
      <c r="B123" s="2" t="s">
        <v>217</v>
      </c>
      <c r="C123" s="3" t="s">
        <v>278</v>
      </c>
      <c r="D123" s="8" t="s">
        <v>279</v>
      </c>
      <c r="E123" s="2" t="s">
        <v>226</v>
      </c>
      <c r="F123" s="2" t="s">
        <v>10</v>
      </c>
      <c r="G123" s="2" t="s">
        <v>11</v>
      </c>
      <c r="H123" s="9" t="str">
        <f t="shared" si="2"/>
        <v>(Cepajus robustus)</v>
      </c>
      <c r="I123" s="2" t="s">
        <v>511</v>
      </c>
      <c r="J123" s="2" t="str">
        <f t="shared" si="1"/>
        <v>Prego - (Cepajus robustus)</v>
      </c>
    </row>
    <row r="124" spans="1:10" ht="12.75" hidden="1">
      <c r="A124" s="2" t="s">
        <v>633</v>
      </c>
      <c r="B124" s="2" t="s">
        <v>217</v>
      </c>
      <c r="C124" s="3" t="s">
        <v>280</v>
      </c>
      <c r="D124" s="8" t="s">
        <v>281</v>
      </c>
      <c r="E124" s="2" t="s">
        <v>229</v>
      </c>
      <c r="F124" s="2" t="s">
        <v>10</v>
      </c>
      <c r="G124" s="2" t="s">
        <v>11</v>
      </c>
      <c r="H124" s="9" t="str">
        <f t="shared" si="2"/>
        <v>(Nasua nasua)</v>
      </c>
      <c r="I124" s="2" t="s">
        <v>511</v>
      </c>
      <c r="J124" s="2" t="str">
        <f t="shared" si="1"/>
        <v>Quati - (Nasua nasua)</v>
      </c>
    </row>
    <row r="125" spans="1:10" ht="12.75" hidden="1">
      <c r="A125" s="2" t="s">
        <v>634</v>
      </c>
      <c r="B125" s="2" t="s">
        <v>217</v>
      </c>
      <c r="C125" s="3" t="s">
        <v>282</v>
      </c>
      <c r="D125" s="8" t="s">
        <v>283</v>
      </c>
      <c r="E125" s="2" t="s">
        <v>229</v>
      </c>
      <c r="F125" s="2" t="s">
        <v>10</v>
      </c>
      <c r="G125" s="2" t="s">
        <v>42</v>
      </c>
      <c r="H125" s="9" t="str">
        <f t="shared" si="2"/>
        <v>(Vulpes vulpes)</v>
      </c>
      <c r="I125" s="2" t="s">
        <v>511</v>
      </c>
      <c r="J125" s="2" t="str">
        <f t="shared" si="1"/>
        <v>Raposa - (Vulpes vulpes)</v>
      </c>
    </row>
    <row r="126" spans="1:10" ht="12.75" hidden="1">
      <c r="A126" s="2" t="s">
        <v>635</v>
      </c>
      <c r="B126" s="2" t="s">
        <v>217</v>
      </c>
      <c r="C126" s="3" t="s">
        <v>284</v>
      </c>
      <c r="D126" s="8" t="s">
        <v>285</v>
      </c>
      <c r="E126" s="2" t="s">
        <v>226</v>
      </c>
      <c r="F126" s="2" t="s">
        <v>10</v>
      </c>
      <c r="G126" s="2" t="s">
        <v>42</v>
      </c>
      <c r="H126" s="9" t="str">
        <f t="shared" si="2"/>
        <v>(Callithrix jacchus)</v>
      </c>
      <c r="I126" s="2" t="s">
        <v>511</v>
      </c>
      <c r="J126" s="2" t="str">
        <f t="shared" si="1"/>
        <v>Sagui - (Callithrix jacchus)</v>
      </c>
    </row>
    <row r="127" spans="1:10" ht="12.75" hidden="1">
      <c r="A127" s="2" t="s">
        <v>636</v>
      </c>
      <c r="B127" s="2" t="s">
        <v>217</v>
      </c>
      <c r="C127" s="3" t="s">
        <v>286</v>
      </c>
      <c r="D127" s="8" t="s">
        <v>287</v>
      </c>
      <c r="E127" s="2" t="s">
        <v>226</v>
      </c>
      <c r="F127" s="2" t="s">
        <v>10</v>
      </c>
      <c r="G127" s="2" t="s">
        <v>42</v>
      </c>
      <c r="H127" s="9" t="str">
        <f t="shared" si="2"/>
        <v>(Callithrix pennicillata)</v>
      </c>
      <c r="I127" s="2" t="s">
        <v>511</v>
      </c>
      <c r="J127" s="2" t="str">
        <f t="shared" si="1"/>
        <v>Sagui do tufo preto - (Callithrix pennicillata)</v>
      </c>
    </row>
    <row r="128" spans="1:10" ht="12.75" hidden="1">
      <c r="A128" s="2" t="s">
        <v>637</v>
      </c>
      <c r="B128" s="2" t="s">
        <v>217</v>
      </c>
      <c r="C128" s="3" t="s">
        <v>288</v>
      </c>
      <c r="D128" s="8" t="s">
        <v>289</v>
      </c>
      <c r="E128" s="2" t="s">
        <v>247</v>
      </c>
      <c r="F128" s="2" t="s">
        <v>10</v>
      </c>
      <c r="G128" s="2" t="s">
        <v>11</v>
      </c>
      <c r="H128" s="9" t="str">
        <f t="shared" si="2"/>
        <v>(Didelphis albiventris)</v>
      </c>
      <c r="I128" s="2" t="s">
        <v>511</v>
      </c>
      <c r="J128" s="2" t="str">
        <f t="shared" si="1"/>
        <v>Sarué - (Didelphis albiventris)</v>
      </c>
    </row>
    <row r="129" spans="1:10" ht="12.75" hidden="1">
      <c r="A129" s="2" t="s">
        <v>638</v>
      </c>
      <c r="B129" s="2" t="s">
        <v>217</v>
      </c>
      <c r="C129" s="3" t="s">
        <v>290</v>
      </c>
      <c r="D129" s="8" t="s">
        <v>291</v>
      </c>
      <c r="E129" s="2" t="s">
        <v>229</v>
      </c>
      <c r="F129" s="2" t="s">
        <v>10</v>
      </c>
      <c r="G129" s="2" t="s">
        <v>11</v>
      </c>
      <c r="H129" s="9" t="str">
        <f t="shared" si="2"/>
        <v>(Puma concolor)</v>
      </c>
      <c r="I129" s="2" t="s">
        <v>511</v>
      </c>
      <c r="J129" s="2" t="str">
        <f t="shared" si="1"/>
        <v>Sucuarana - (Puma concolor)</v>
      </c>
    </row>
    <row r="130" spans="1:10" ht="12.75" hidden="1">
      <c r="A130" s="2" t="s">
        <v>639</v>
      </c>
      <c r="B130" s="2" t="s">
        <v>217</v>
      </c>
      <c r="C130" s="3" t="s">
        <v>292</v>
      </c>
      <c r="D130" s="8" t="s">
        <v>293</v>
      </c>
      <c r="E130" s="2" t="s">
        <v>223</v>
      </c>
      <c r="F130" s="2" t="s">
        <v>25</v>
      </c>
      <c r="G130" s="2" t="s">
        <v>11</v>
      </c>
      <c r="H130" s="9" t="str">
        <f t="shared" si="2"/>
        <v>(Myrmecophaga tridactyla)</v>
      </c>
      <c r="I130" s="2" t="s">
        <v>511</v>
      </c>
      <c r="J130" s="2" t="str">
        <f t="shared" si="1"/>
        <v>Tamanduá bandeira - (Myrmecophaga tridactyla)</v>
      </c>
    </row>
    <row r="131" spans="1:10" ht="12.75" hidden="1">
      <c r="A131" s="2" t="s">
        <v>640</v>
      </c>
      <c r="B131" s="2" t="s">
        <v>217</v>
      </c>
      <c r="C131" s="3" t="s">
        <v>294</v>
      </c>
      <c r="D131" s="8" t="s">
        <v>295</v>
      </c>
      <c r="E131" s="2" t="s">
        <v>223</v>
      </c>
      <c r="F131" s="2" t="s">
        <v>10</v>
      </c>
      <c r="G131" s="2" t="s">
        <v>11</v>
      </c>
      <c r="H131" s="9" t="str">
        <f t="shared" si="2"/>
        <v>(Tamandua tetradactyla)</v>
      </c>
      <c r="I131" s="2" t="s">
        <v>511</v>
      </c>
      <c r="J131" s="2" t="str">
        <f t="shared" si="1"/>
        <v>Tamanduá mirim - (Tamandua tetradactyla)</v>
      </c>
    </row>
    <row r="132" spans="1:10" ht="12.75" hidden="1">
      <c r="A132" s="2" t="s">
        <v>641</v>
      </c>
      <c r="B132" s="2" t="s">
        <v>217</v>
      </c>
      <c r="C132" s="3" t="s">
        <v>296</v>
      </c>
      <c r="D132" s="8" t="s">
        <v>297</v>
      </c>
      <c r="E132" s="2" t="s">
        <v>298</v>
      </c>
      <c r="F132" s="2" t="s">
        <v>25</v>
      </c>
      <c r="G132" s="2" t="s">
        <v>11</v>
      </c>
      <c r="H132" s="9" t="str">
        <f t="shared" si="2"/>
        <v>(Tolypeutes tricinctus)</v>
      </c>
      <c r="I132" s="2" t="s">
        <v>511</v>
      </c>
      <c r="J132" s="2" t="str">
        <f t="shared" si="1"/>
        <v>Tatu bola - (Tolypeutes tricinctus)</v>
      </c>
    </row>
    <row r="133" spans="1:10" ht="12.75" hidden="1">
      <c r="A133" s="2" t="s">
        <v>642</v>
      </c>
      <c r="B133" s="2" t="s">
        <v>217</v>
      </c>
      <c r="C133" s="3" t="s">
        <v>299</v>
      </c>
      <c r="D133" s="8" t="s">
        <v>300</v>
      </c>
      <c r="E133" s="2" t="s">
        <v>298</v>
      </c>
      <c r="F133" s="2" t="s">
        <v>25</v>
      </c>
      <c r="G133" s="2" t="s">
        <v>11</v>
      </c>
      <c r="H133" s="9" t="str">
        <f t="shared" si="2"/>
        <v>(Priosontes maximus)</v>
      </c>
      <c r="I133" s="2" t="s">
        <v>511</v>
      </c>
      <c r="J133" s="2" t="str">
        <f t="shared" si="1"/>
        <v>Tatu canastra - (Priosontes maximus)</v>
      </c>
    </row>
    <row r="134" spans="1:10" ht="12.75" hidden="1">
      <c r="A134" s="2" t="s">
        <v>643</v>
      </c>
      <c r="B134" s="2" t="s">
        <v>217</v>
      </c>
      <c r="C134" s="3" t="s">
        <v>301</v>
      </c>
      <c r="D134" s="8" t="s">
        <v>302</v>
      </c>
      <c r="E134" s="2" t="s">
        <v>298</v>
      </c>
      <c r="F134" s="2" t="s">
        <v>10</v>
      </c>
      <c r="G134" s="2" t="s">
        <v>11</v>
      </c>
      <c r="H134" s="9" t="str">
        <f t="shared" si="2"/>
        <v>(Cabassous unicinctus)</v>
      </c>
      <c r="I134" s="2" t="s">
        <v>511</v>
      </c>
      <c r="J134" s="2" t="str">
        <f t="shared" si="1"/>
        <v>Tatu de rabo mole - (Cabassous unicinctus)</v>
      </c>
    </row>
    <row r="135" spans="1:10" ht="12.75" hidden="1">
      <c r="A135" s="2" t="s">
        <v>644</v>
      </c>
      <c r="B135" s="2" t="s">
        <v>217</v>
      </c>
      <c r="C135" s="3" t="s">
        <v>303</v>
      </c>
      <c r="D135" s="8" t="s">
        <v>304</v>
      </c>
      <c r="E135" s="2" t="s">
        <v>298</v>
      </c>
      <c r="F135" s="2" t="s">
        <v>10</v>
      </c>
      <c r="G135" s="2" t="s">
        <v>11</v>
      </c>
      <c r="H135" s="9" t="str">
        <f t="shared" si="2"/>
        <v>(Dasypus novemcinctus)</v>
      </c>
      <c r="I135" s="2" t="s">
        <v>511</v>
      </c>
      <c r="J135" s="2" t="str">
        <f t="shared" si="1"/>
        <v>Tatu galinha - (Dasypus novemcinctus)</v>
      </c>
    </row>
    <row r="136" spans="1:10" ht="12.75" hidden="1">
      <c r="A136" s="2" t="s">
        <v>645</v>
      </c>
      <c r="B136" s="2" t="s">
        <v>217</v>
      </c>
      <c r="C136" s="3" t="s">
        <v>305</v>
      </c>
      <c r="D136" s="8" t="s">
        <v>306</v>
      </c>
      <c r="E136" s="2" t="s">
        <v>298</v>
      </c>
      <c r="F136" s="2" t="s">
        <v>10</v>
      </c>
      <c r="G136" s="2" t="s">
        <v>11</v>
      </c>
      <c r="H136" s="9" t="str">
        <f t="shared" si="2"/>
        <v>(Euphractus sexcinctus)</v>
      </c>
      <c r="I136" s="2" t="s">
        <v>511</v>
      </c>
      <c r="J136" s="2" t="str">
        <f t="shared" si="1"/>
        <v>Tatu peba - (Euphractus sexcinctus)</v>
      </c>
    </row>
    <row r="137" spans="1:10" ht="12.75" hidden="1">
      <c r="A137" s="2" t="s">
        <v>646</v>
      </c>
      <c r="B137" s="2" t="s">
        <v>217</v>
      </c>
      <c r="C137" s="3" t="s">
        <v>307</v>
      </c>
      <c r="D137" s="8" t="s">
        <v>308</v>
      </c>
      <c r="E137" s="2" t="s">
        <v>240</v>
      </c>
      <c r="F137" s="2" t="s">
        <v>309</v>
      </c>
      <c r="G137" s="2" t="s">
        <v>11</v>
      </c>
      <c r="H137" s="9" t="str">
        <f t="shared" si="2"/>
        <v>(Ozotoceros bezoarticus)</v>
      </c>
      <c r="I137" s="2" t="s">
        <v>511</v>
      </c>
      <c r="J137" s="2" t="str">
        <f t="shared" si="1"/>
        <v>Veado campeiro - (Ozotoceros bezoarticus)</v>
      </c>
    </row>
    <row r="138" spans="1:10" ht="12.75" hidden="1">
      <c r="A138" s="2" t="s">
        <v>647</v>
      </c>
      <c r="B138" s="2" t="s">
        <v>217</v>
      </c>
      <c r="C138" s="3" t="s">
        <v>310</v>
      </c>
      <c r="D138" s="8" t="s">
        <v>311</v>
      </c>
      <c r="E138" s="2" t="s">
        <v>240</v>
      </c>
      <c r="F138" s="2" t="s">
        <v>25</v>
      </c>
      <c r="G138" s="2" t="s">
        <v>11</v>
      </c>
      <c r="H138" s="9" t="str">
        <f t="shared" si="2"/>
        <v>(Mazama bororo)</v>
      </c>
      <c r="I138" s="2" t="s">
        <v>511</v>
      </c>
      <c r="J138" s="2" t="str">
        <f t="shared" si="1"/>
        <v>Veado catingueiro - (Mazama bororo)</v>
      </c>
    </row>
    <row r="139" spans="1:10" ht="12.75" hidden="1">
      <c r="A139" s="2" t="s">
        <v>648</v>
      </c>
      <c r="B139" s="2" t="s">
        <v>217</v>
      </c>
      <c r="C139" s="3" t="s">
        <v>312</v>
      </c>
      <c r="D139" s="8" t="s">
        <v>313</v>
      </c>
      <c r="E139" s="2" t="s">
        <v>240</v>
      </c>
      <c r="F139" s="2" t="s">
        <v>234</v>
      </c>
      <c r="G139" s="2" t="s">
        <v>11</v>
      </c>
      <c r="H139" s="9" t="str">
        <f t="shared" si="2"/>
        <v>(Mazama americana)</v>
      </c>
      <c r="I139" s="2" t="s">
        <v>511</v>
      </c>
      <c r="J139" s="2" t="str">
        <f t="shared" si="1"/>
        <v>Veado mateiro - (Mazama americana)</v>
      </c>
    </row>
    <row r="140" spans="1:10" ht="12.75">
      <c r="A140" s="2" t="s">
        <v>649</v>
      </c>
      <c r="B140" s="2" t="s">
        <v>314</v>
      </c>
      <c r="C140" s="3" t="s">
        <v>315</v>
      </c>
      <c r="D140" s="8" t="s">
        <v>316</v>
      </c>
      <c r="E140" s="2" t="s">
        <v>317</v>
      </c>
      <c r="F140" s="2" t="s">
        <v>318</v>
      </c>
      <c r="G140" s="4" t="s">
        <v>11</v>
      </c>
      <c r="H140" s="9" t="str">
        <f t="shared" si="2"/>
        <v>(Astronotus ocellatus)</v>
      </c>
      <c r="I140" s="2" t="s">
        <v>511</v>
      </c>
      <c r="J140" s="2" t="str">
        <f t="shared" si="1"/>
        <v>Acará azul - (Astronotus ocellatus)</v>
      </c>
    </row>
    <row r="141" spans="1:10" ht="12.75">
      <c r="A141" s="2" t="s">
        <v>650</v>
      </c>
      <c r="B141" s="2" t="s">
        <v>314</v>
      </c>
      <c r="C141" s="5" t="s">
        <v>319</v>
      </c>
      <c r="D141" s="10" t="s">
        <v>320</v>
      </c>
      <c r="E141" s="4" t="s">
        <v>317</v>
      </c>
      <c r="F141" s="4" t="s">
        <v>318</v>
      </c>
      <c r="G141" s="4" t="s">
        <v>11</v>
      </c>
      <c r="H141" s="9" t="str">
        <f t="shared" si="2"/>
        <v>(Cichlasoma dimerus)</v>
      </c>
      <c r="I141" s="2" t="s">
        <v>511</v>
      </c>
      <c r="J141" s="2" t="str">
        <f t="shared" si="1"/>
        <v>Acará Bandeira - (Cichlasoma dimerus)</v>
      </c>
    </row>
    <row r="142" spans="1:10" ht="12.75">
      <c r="A142" s="2" t="s">
        <v>651</v>
      </c>
      <c r="B142" s="2" t="s">
        <v>314</v>
      </c>
      <c r="C142" s="5" t="s">
        <v>321</v>
      </c>
      <c r="D142" s="10" t="s">
        <v>322</v>
      </c>
      <c r="E142" s="2" t="s">
        <v>317</v>
      </c>
      <c r="F142" s="4" t="s">
        <v>318</v>
      </c>
      <c r="G142" s="4" t="s">
        <v>11</v>
      </c>
      <c r="H142" s="9" t="str">
        <f t="shared" si="2"/>
        <v>(Symphysodon discus)</v>
      </c>
      <c r="I142" s="2" t="s">
        <v>511</v>
      </c>
      <c r="J142" s="2" t="str">
        <f t="shared" si="1"/>
        <v>Acará Disco - (Symphysodon discus)</v>
      </c>
    </row>
    <row r="143" spans="1:10" ht="12.75">
      <c r="A143" s="2" t="s">
        <v>652</v>
      </c>
      <c r="B143" s="2" t="s">
        <v>314</v>
      </c>
      <c r="C143" s="3" t="s">
        <v>323</v>
      </c>
      <c r="D143" s="8" t="s">
        <v>324</v>
      </c>
      <c r="E143" s="2" t="s">
        <v>317</v>
      </c>
      <c r="F143" s="2" t="s">
        <v>318</v>
      </c>
      <c r="G143" s="4" t="s">
        <v>11</v>
      </c>
      <c r="H143" s="9" t="str">
        <f t="shared" si="2"/>
        <v>(Cichlasoma sp.)</v>
      </c>
      <c r="I143" s="2" t="s">
        <v>511</v>
      </c>
      <c r="J143" s="2" t="str">
        <f t="shared" si="1"/>
        <v>Acará marrom - (Cichlasoma sp.)</v>
      </c>
    </row>
    <row r="144" spans="1:10" ht="12.75">
      <c r="A144" s="2" t="s">
        <v>653</v>
      </c>
      <c r="B144" s="2" t="s">
        <v>314</v>
      </c>
      <c r="C144" s="5" t="s">
        <v>325</v>
      </c>
      <c r="D144" s="10" t="s">
        <v>326</v>
      </c>
      <c r="E144" s="2" t="s">
        <v>317</v>
      </c>
      <c r="F144" s="4" t="s">
        <v>318</v>
      </c>
      <c r="G144" s="4" t="s">
        <v>11</v>
      </c>
      <c r="H144" s="9" t="str">
        <f t="shared" si="2"/>
        <v>(Pterophyllum scalare)</v>
      </c>
      <c r="I144" s="2" t="s">
        <v>511</v>
      </c>
      <c r="J144" s="2" t="str">
        <f t="shared" si="1"/>
        <v>Apaiari - (Pterophyllum scalare)</v>
      </c>
    </row>
    <row r="145" spans="1:10" ht="12.75">
      <c r="A145" s="2" t="s">
        <v>654</v>
      </c>
      <c r="B145" s="2" t="s">
        <v>314</v>
      </c>
      <c r="C145" s="5" t="s">
        <v>327</v>
      </c>
      <c r="D145" s="10" t="s">
        <v>328</v>
      </c>
      <c r="E145" s="4" t="s">
        <v>329</v>
      </c>
      <c r="F145" s="4" t="s">
        <v>25</v>
      </c>
      <c r="G145" s="4" t="s">
        <v>11</v>
      </c>
      <c r="H145" s="9" t="str">
        <f t="shared" si="2"/>
        <v>(Brachyplatystoma platynemum)</v>
      </c>
      <c r="I145" s="2" t="s">
        <v>511</v>
      </c>
      <c r="J145" s="2" t="str">
        <f t="shared" si="1"/>
        <v>Bagre Açu - (Brachyplatystoma platynemum)</v>
      </c>
    </row>
    <row r="146" spans="1:10" ht="12.75">
      <c r="A146" s="2" t="s">
        <v>655</v>
      </c>
      <c r="B146" s="2" t="s">
        <v>314</v>
      </c>
      <c r="C146" s="3" t="s">
        <v>330</v>
      </c>
      <c r="D146" s="8" t="s">
        <v>331</v>
      </c>
      <c r="E146" s="2" t="s">
        <v>329</v>
      </c>
      <c r="F146" s="2" t="s">
        <v>318</v>
      </c>
      <c r="G146" s="4" t="s">
        <v>11</v>
      </c>
      <c r="H146" s="9" t="str">
        <f t="shared" si="2"/>
        <v>(Rhamdia quelen)</v>
      </c>
      <c r="I146" s="2" t="s">
        <v>511</v>
      </c>
      <c r="J146" s="2" t="str">
        <f t="shared" si="1"/>
        <v>Bagre Jandiá - (Rhamdia quelen)</v>
      </c>
    </row>
    <row r="147" spans="1:10" ht="12.75">
      <c r="A147" s="2" t="s">
        <v>656</v>
      </c>
      <c r="B147" s="2" t="s">
        <v>314</v>
      </c>
      <c r="C147" s="5" t="s">
        <v>332</v>
      </c>
      <c r="D147" s="10" t="s">
        <v>333</v>
      </c>
      <c r="E147" s="4" t="s">
        <v>334</v>
      </c>
      <c r="F147" s="4" t="s">
        <v>318</v>
      </c>
      <c r="G147" s="4" t="s">
        <v>42</v>
      </c>
      <c r="H147" s="9" t="str">
        <f t="shared" si="2"/>
        <v>(Hypostomus sp.)</v>
      </c>
      <c r="I147" s="2" t="s">
        <v>511</v>
      </c>
      <c r="J147" s="2" t="str">
        <f t="shared" si="1"/>
        <v>Bagre Mexicano - (Hypostomus sp.)</v>
      </c>
    </row>
    <row r="148" spans="1:10" ht="12.75">
      <c r="A148" s="2" t="s">
        <v>657</v>
      </c>
      <c r="B148" s="2" t="s">
        <v>314</v>
      </c>
      <c r="C148" s="3" t="s">
        <v>335</v>
      </c>
      <c r="D148" s="8" t="s">
        <v>336</v>
      </c>
      <c r="E148" s="2" t="s">
        <v>329</v>
      </c>
      <c r="F148" s="2" t="s">
        <v>25</v>
      </c>
      <c r="G148" s="2" t="s">
        <v>11</v>
      </c>
      <c r="H148" s="9" t="str">
        <f t="shared" si="2"/>
        <v>(Pseudoplatystoma fasciatum)</v>
      </c>
      <c r="I148" s="2" t="s">
        <v>511</v>
      </c>
      <c r="J148" s="2" t="str">
        <f t="shared" si="1"/>
        <v>Cachara - (Pseudoplatystoma fasciatum)</v>
      </c>
    </row>
    <row r="149" spans="1:10" ht="12.75">
      <c r="A149" s="2" t="s">
        <v>658</v>
      </c>
      <c r="B149" s="2" t="s">
        <v>314</v>
      </c>
      <c r="C149" s="5" t="s">
        <v>337</v>
      </c>
      <c r="D149" s="10" t="s">
        <v>338</v>
      </c>
      <c r="E149" s="2" t="s">
        <v>317</v>
      </c>
      <c r="F149" s="4" t="s">
        <v>318</v>
      </c>
      <c r="G149" s="4" t="s">
        <v>11</v>
      </c>
      <c r="H149" s="9" t="str">
        <f t="shared" si="2"/>
        <v>(Geophagus brasiliensis)</v>
      </c>
      <c r="I149" s="2" t="s">
        <v>511</v>
      </c>
      <c r="J149" s="2" t="str">
        <f t="shared" si="1"/>
        <v>Cará - (Geophagus brasiliensis)</v>
      </c>
    </row>
    <row r="150" spans="1:10" ht="12.75">
      <c r="A150" s="2" t="s">
        <v>659</v>
      </c>
      <c r="B150" s="2" t="s">
        <v>314</v>
      </c>
      <c r="C150" s="3" t="s">
        <v>339</v>
      </c>
      <c r="D150" s="8" t="s">
        <v>340</v>
      </c>
      <c r="E150" s="2" t="s">
        <v>341</v>
      </c>
      <c r="F150" s="2" t="s">
        <v>318</v>
      </c>
      <c r="G150" s="4" t="s">
        <v>11</v>
      </c>
      <c r="H150" s="9" t="str">
        <f t="shared" si="2"/>
        <v>(Cheirodon axelrodi)</v>
      </c>
      <c r="I150" s="2" t="s">
        <v>511</v>
      </c>
      <c r="J150" s="2" t="str">
        <f t="shared" si="1"/>
        <v>Cardinal - (Cheirodon axelrodi)</v>
      </c>
    </row>
    <row r="151" spans="1:10" ht="12.75">
      <c r="A151" s="2" t="s">
        <v>660</v>
      </c>
      <c r="B151" s="2" t="s">
        <v>314</v>
      </c>
      <c r="C151" s="3" t="s">
        <v>342</v>
      </c>
      <c r="D151" s="8" t="s">
        <v>343</v>
      </c>
      <c r="E151" s="2" t="s">
        <v>341</v>
      </c>
      <c r="F151" s="2" t="s">
        <v>318</v>
      </c>
      <c r="G151" s="2" t="s">
        <v>11</v>
      </c>
      <c r="H151" s="9" t="str">
        <f t="shared" si="2"/>
        <v>(Moenkhausia sp.)</v>
      </c>
      <c r="I151" s="2" t="s">
        <v>511</v>
      </c>
      <c r="J151" s="2" t="str">
        <f t="shared" si="1"/>
        <v>Cascudinho - (Moenkhausia sp.)</v>
      </c>
    </row>
    <row r="152" spans="1:10" ht="12.75">
      <c r="A152" s="2" t="s">
        <v>661</v>
      </c>
      <c r="B152" s="2" t="s">
        <v>314</v>
      </c>
      <c r="C152" s="5" t="s">
        <v>344</v>
      </c>
      <c r="D152" s="10" t="s">
        <v>345</v>
      </c>
      <c r="E152" s="4" t="s">
        <v>346</v>
      </c>
      <c r="F152" s="4" t="s">
        <v>318</v>
      </c>
      <c r="G152" s="4" t="s">
        <v>11</v>
      </c>
      <c r="H152" s="9" t="str">
        <f t="shared" si="2"/>
        <v>(Ancistrus sp.)</v>
      </c>
      <c r="I152" s="2" t="s">
        <v>511</v>
      </c>
      <c r="J152" s="2" t="str">
        <f t="shared" si="1"/>
        <v>Cascudo - (Ancistrus sp.)</v>
      </c>
    </row>
    <row r="153" spans="1:10" ht="12.75">
      <c r="A153" s="2" t="s">
        <v>662</v>
      </c>
      <c r="B153" s="2" t="s">
        <v>314</v>
      </c>
      <c r="C153" s="5" t="s">
        <v>347</v>
      </c>
      <c r="D153" s="10" t="s">
        <v>348</v>
      </c>
      <c r="E153" s="4" t="s">
        <v>346</v>
      </c>
      <c r="F153" s="4" t="s">
        <v>318</v>
      </c>
      <c r="G153" s="4" t="s">
        <v>42</v>
      </c>
      <c r="H153" s="9" t="str">
        <f t="shared" si="2"/>
        <v>(Hypostomus plecostomus)</v>
      </c>
      <c r="I153" s="2" t="s">
        <v>511</v>
      </c>
      <c r="J153" s="2" t="str">
        <f t="shared" si="1"/>
        <v>Cascudo Guacari - (Hypostomus plecostomus)</v>
      </c>
    </row>
    <row r="154" spans="1:10" ht="12.75">
      <c r="A154" s="2" t="s">
        <v>663</v>
      </c>
      <c r="B154" s="2" t="s">
        <v>314</v>
      </c>
      <c r="C154" s="3" t="s">
        <v>349</v>
      </c>
      <c r="D154" s="8" t="s">
        <v>350</v>
      </c>
      <c r="E154" s="2" t="s">
        <v>351</v>
      </c>
      <c r="F154" s="2" t="s">
        <v>318</v>
      </c>
      <c r="G154" s="4" t="s">
        <v>11</v>
      </c>
      <c r="H154" s="9" t="str">
        <f t="shared" si="2"/>
        <v>(Prochilodus sp.)</v>
      </c>
      <c r="I154" s="2" t="s">
        <v>511</v>
      </c>
      <c r="J154" s="2" t="str">
        <f t="shared" si="1"/>
        <v>Curimatã - (Prochilodus sp.)</v>
      </c>
    </row>
    <row r="155" spans="1:10" ht="12.75">
      <c r="A155" s="2" t="s">
        <v>664</v>
      </c>
      <c r="B155" s="2" t="s">
        <v>314</v>
      </c>
      <c r="C155" s="5" t="s">
        <v>352</v>
      </c>
      <c r="D155" s="10" t="s">
        <v>353</v>
      </c>
      <c r="E155" s="2" t="s">
        <v>341</v>
      </c>
      <c r="F155" s="4" t="s">
        <v>318</v>
      </c>
      <c r="G155" s="4" t="s">
        <v>11</v>
      </c>
      <c r="H155" s="9" t="str">
        <f t="shared" si="2"/>
        <v>(Prochilodus lineatus)</v>
      </c>
      <c r="I155" s="2" t="s">
        <v>511</v>
      </c>
      <c r="J155" s="2" t="str">
        <f t="shared" si="1"/>
        <v>Curimba - (Prochilodus lineatus)</v>
      </c>
    </row>
    <row r="156" spans="1:10" ht="12.75">
      <c r="A156" s="2" t="s">
        <v>665</v>
      </c>
      <c r="B156" s="2" t="s">
        <v>314</v>
      </c>
      <c r="C156" s="5" t="s">
        <v>354</v>
      </c>
      <c r="D156" s="10" t="s">
        <v>355</v>
      </c>
      <c r="E156" s="4" t="s">
        <v>356</v>
      </c>
      <c r="F156" s="4" t="s">
        <v>25</v>
      </c>
      <c r="G156" s="4" t="s">
        <v>11</v>
      </c>
      <c r="H156" s="9" t="str">
        <f t="shared" si="2"/>
        <v>(Brachyplatystoma rousseauxii)</v>
      </c>
      <c r="I156" s="2" t="s">
        <v>511</v>
      </c>
      <c r="J156" s="2" t="str">
        <f t="shared" si="1"/>
        <v>Dourado - (Brachyplatystoma rousseauxii)</v>
      </c>
    </row>
    <row r="157" spans="1:10" ht="12.75">
      <c r="A157" s="2" t="s">
        <v>666</v>
      </c>
      <c r="B157" s="2" t="s">
        <v>314</v>
      </c>
      <c r="C157" s="5" t="s">
        <v>354</v>
      </c>
      <c r="D157" s="10" t="s">
        <v>357</v>
      </c>
      <c r="E157" s="2" t="s">
        <v>341</v>
      </c>
      <c r="F157" s="4" t="s">
        <v>234</v>
      </c>
      <c r="G157" s="4" t="s">
        <v>11</v>
      </c>
      <c r="H157" s="9" t="str">
        <f t="shared" si="2"/>
        <v>(Salminus brasiliensis)</v>
      </c>
      <c r="I157" s="2" t="s">
        <v>511</v>
      </c>
      <c r="J157" s="2" t="str">
        <f t="shared" si="1"/>
        <v>Dourado - (Salminus brasiliensis)</v>
      </c>
    </row>
    <row r="158" spans="1:10" ht="12.75">
      <c r="A158" s="2" t="s">
        <v>667</v>
      </c>
      <c r="B158" s="2" t="s">
        <v>314</v>
      </c>
      <c r="C158" s="5" t="s">
        <v>358</v>
      </c>
      <c r="D158" s="10" t="s">
        <v>359</v>
      </c>
      <c r="E158" s="2" t="s">
        <v>341</v>
      </c>
      <c r="F158" s="4" t="s">
        <v>318</v>
      </c>
      <c r="G158" s="4" t="s">
        <v>11</v>
      </c>
      <c r="H158" s="9" t="str">
        <f t="shared" si="2"/>
        <v>(Semaprochilodus insignis)</v>
      </c>
      <c r="I158" s="2" t="s">
        <v>511</v>
      </c>
      <c r="J158" s="2" t="str">
        <f t="shared" si="1"/>
        <v>Jaraqui - (Semaprochilodus insignis)</v>
      </c>
    </row>
    <row r="159" spans="1:10" ht="12.75">
      <c r="A159" s="2" t="s">
        <v>668</v>
      </c>
      <c r="B159" s="2" t="s">
        <v>314</v>
      </c>
      <c r="C159" s="5" t="s">
        <v>360</v>
      </c>
      <c r="D159" s="10" t="s">
        <v>361</v>
      </c>
      <c r="E159" s="2" t="s">
        <v>346</v>
      </c>
      <c r="F159" s="4" t="s">
        <v>362</v>
      </c>
      <c r="G159" s="4" t="s">
        <v>11</v>
      </c>
      <c r="H159" s="9" t="str">
        <f t="shared" si="2"/>
        <v>(Zungaro zungaro)</v>
      </c>
      <c r="I159" s="2" t="s">
        <v>511</v>
      </c>
      <c r="J159" s="2" t="str">
        <f t="shared" si="1"/>
        <v>Jau - (Zungaro zungaro)</v>
      </c>
    </row>
    <row r="160" spans="1:10" ht="12.75">
      <c r="A160" s="2" t="s">
        <v>669</v>
      </c>
      <c r="B160" s="2" t="s">
        <v>314</v>
      </c>
      <c r="C160" s="5" t="s">
        <v>363</v>
      </c>
      <c r="D160" s="10" t="s">
        <v>364</v>
      </c>
      <c r="E160" s="4" t="s">
        <v>365</v>
      </c>
      <c r="F160" s="4" t="s">
        <v>318</v>
      </c>
      <c r="G160" s="4" t="s">
        <v>11</v>
      </c>
      <c r="H160" s="9" t="str">
        <f t="shared" si="2"/>
        <v>(Astyanax bimaculatus lacustris)</v>
      </c>
      <c r="I160" s="2" t="s">
        <v>511</v>
      </c>
      <c r="J160" s="2" t="str">
        <f t="shared" si="1"/>
        <v>Lambari do Rabo Amarelo - (Astyanax bimaculatus lacustris)</v>
      </c>
    </row>
    <row r="161" spans="1:10" ht="12.75">
      <c r="A161" s="2" t="s">
        <v>670</v>
      </c>
      <c r="B161" s="2" t="s">
        <v>314</v>
      </c>
      <c r="C161" s="5" t="s">
        <v>366</v>
      </c>
      <c r="D161" s="10" t="s">
        <v>367</v>
      </c>
      <c r="E161" s="4" t="s">
        <v>341</v>
      </c>
      <c r="F161" s="4" t="s">
        <v>318</v>
      </c>
      <c r="G161" s="4" t="s">
        <v>11</v>
      </c>
      <c r="H161" s="9" t="str">
        <f t="shared" si="2"/>
        <v>(Bryconamericus iheringii)</v>
      </c>
      <c r="I161" s="2" t="s">
        <v>511</v>
      </c>
      <c r="J161" s="2" t="str">
        <f t="shared" si="1"/>
        <v>Lambari dos Arroios - (Bryconamericus iheringii)</v>
      </c>
    </row>
    <row r="162" spans="1:10" ht="12.75">
      <c r="A162" s="2" t="s">
        <v>671</v>
      </c>
      <c r="B162" s="2" t="s">
        <v>314</v>
      </c>
      <c r="C162" s="5" t="s">
        <v>368</v>
      </c>
      <c r="D162" s="10" t="s">
        <v>369</v>
      </c>
      <c r="E162" s="4" t="s">
        <v>365</v>
      </c>
      <c r="F162" s="4" t="s">
        <v>318</v>
      </c>
      <c r="G162" s="4" t="s">
        <v>11</v>
      </c>
      <c r="H162" s="9" t="str">
        <f t="shared" si="2"/>
        <v>(Astyanax altiparanae)</v>
      </c>
      <c r="I162" s="2" t="s">
        <v>511</v>
      </c>
      <c r="J162" s="2" t="str">
        <f t="shared" si="1"/>
        <v>Lambari Tambiú - (Astyanax altiparanae)</v>
      </c>
    </row>
    <row r="163" spans="1:10" ht="12.75">
      <c r="A163" s="2" t="s">
        <v>672</v>
      </c>
      <c r="B163" s="2" t="s">
        <v>314</v>
      </c>
      <c r="C163" s="3" t="s">
        <v>370</v>
      </c>
      <c r="D163" s="8" t="s">
        <v>371</v>
      </c>
      <c r="E163" s="2" t="s">
        <v>341</v>
      </c>
      <c r="F163" s="2" t="s">
        <v>318</v>
      </c>
      <c r="G163" s="2" t="s">
        <v>11</v>
      </c>
      <c r="H163" s="9" t="str">
        <f t="shared" si="2"/>
        <v>(Hyphessobrycon eques)</v>
      </c>
      <c r="I163" s="2" t="s">
        <v>511</v>
      </c>
      <c r="J163" s="2" t="str">
        <f t="shared" si="1"/>
        <v>Mato Grosso - (Hyphessobrycon eques)</v>
      </c>
    </row>
    <row r="164" spans="1:10" ht="12.75">
      <c r="A164" s="2" t="s">
        <v>673</v>
      </c>
      <c r="B164" s="2" t="s">
        <v>314</v>
      </c>
      <c r="C164" s="3" t="s">
        <v>372</v>
      </c>
      <c r="D164" s="8" t="s">
        <v>373</v>
      </c>
      <c r="E164" s="2" t="s">
        <v>341</v>
      </c>
      <c r="F164" s="2" t="s">
        <v>318</v>
      </c>
      <c r="G164" s="2" t="s">
        <v>11</v>
      </c>
      <c r="H164" s="9" t="str">
        <f t="shared" si="2"/>
        <v>(Bryconpes reticulatus)</v>
      </c>
      <c r="I164" s="2" t="s">
        <v>511</v>
      </c>
      <c r="J164" s="2" t="str">
        <f t="shared" si="1"/>
        <v>Matogrossense - (Bryconpes reticulatus)</v>
      </c>
    </row>
    <row r="165" spans="1:10" ht="12.75">
      <c r="A165" s="2" t="s">
        <v>674</v>
      </c>
      <c r="B165" s="2" t="s">
        <v>314</v>
      </c>
      <c r="C165" s="5" t="s">
        <v>374</v>
      </c>
      <c r="D165" s="10" t="s">
        <v>375</v>
      </c>
      <c r="E165" s="2" t="s">
        <v>341</v>
      </c>
      <c r="F165" s="4" t="s">
        <v>234</v>
      </c>
      <c r="G165" s="2" t="s">
        <v>11</v>
      </c>
      <c r="H165" s="9" t="str">
        <f t="shared" si="2"/>
        <v>(Brycon amazonicus)</v>
      </c>
      <c r="I165" s="2" t="s">
        <v>511</v>
      </c>
      <c r="J165" s="2" t="str">
        <f t="shared" si="1"/>
        <v>Matrinxã - (Brycon amazonicus)</v>
      </c>
    </row>
    <row r="166" spans="1:10" ht="12.75">
      <c r="A166" s="2" t="s">
        <v>675</v>
      </c>
      <c r="B166" s="2" t="s">
        <v>314</v>
      </c>
      <c r="C166" s="5" t="s">
        <v>376</v>
      </c>
      <c r="D166" s="10" t="s">
        <v>377</v>
      </c>
      <c r="E166" s="4" t="s">
        <v>378</v>
      </c>
      <c r="F166" s="4" t="s">
        <v>10</v>
      </c>
      <c r="G166" s="2" t="s">
        <v>42</v>
      </c>
      <c r="H166" s="9" t="str">
        <f t="shared" si="2"/>
        <v>(Poecilia reticulata)</v>
      </c>
      <c r="I166" s="2" t="s">
        <v>511</v>
      </c>
      <c r="J166" s="2" t="str">
        <f t="shared" si="1"/>
        <v>Molinésia - (Poecilia reticulata)</v>
      </c>
    </row>
    <row r="167" spans="1:10" ht="12.75">
      <c r="A167" s="2" t="s">
        <v>676</v>
      </c>
      <c r="B167" s="2" t="s">
        <v>314</v>
      </c>
      <c r="C167" s="5" t="s">
        <v>379</v>
      </c>
      <c r="D167" s="10" t="s">
        <v>380</v>
      </c>
      <c r="E167" s="2" t="s">
        <v>341</v>
      </c>
      <c r="F167" s="4" t="s">
        <v>234</v>
      </c>
      <c r="G167" s="2" t="s">
        <v>11</v>
      </c>
      <c r="H167" s="9" t="str">
        <f t="shared" si="2"/>
        <v>(Piaractus mesopotamicus)</v>
      </c>
      <c r="I167" s="2" t="s">
        <v>511</v>
      </c>
      <c r="J167" s="2" t="str">
        <f t="shared" si="1"/>
        <v>Pacu - (Piaractus mesopotamicus)</v>
      </c>
    </row>
    <row r="168" spans="1:10" ht="12.75">
      <c r="A168" s="2" t="s">
        <v>677</v>
      </c>
      <c r="B168" s="2" t="s">
        <v>314</v>
      </c>
      <c r="C168" s="5" t="s">
        <v>381</v>
      </c>
      <c r="D168" s="10" t="s">
        <v>382</v>
      </c>
      <c r="E168" s="4" t="s">
        <v>378</v>
      </c>
      <c r="F168" s="4" t="s">
        <v>10</v>
      </c>
      <c r="G168" s="4" t="s">
        <v>42</v>
      </c>
      <c r="H168" s="9" t="str">
        <f t="shared" si="2"/>
        <v>(Gambusia affinis)</v>
      </c>
      <c r="I168" s="2" t="s">
        <v>511</v>
      </c>
      <c r="J168" s="2" t="str">
        <f t="shared" si="1"/>
        <v>Peixe-mosquito - (Gambusia affinis)</v>
      </c>
    </row>
    <row r="169" spans="1:10" ht="12.75">
      <c r="A169" s="2" t="s">
        <v>678</v>
      </c>
      <c r="B169" s="2" t="s">
        <v>314</v>
      </c>
      <c r="C169" s="5" t="s">
        <v>383</v>
      </c>
      <c r="D169" s="10" t="s">
        <v>384</v>
      </c>
      <c r="E169" s="4" t="s">
        <v>385</v>
      </c>
      <c r="F169" s="4" t="s">
        <v>318</v>
      </c>
      <c r="G169" s="2" t="s">
        <v>11</v>
      </c>
      <c r="H169" s="9" t="str">
        <f t="shared" si="2"/>
        <v>(Leporinus piava)</v>
      </c>
      <c r="I169" s="2" t="s">
        <v>511</v>
      </c>
      <c r="J169" s="2" t="str">
        <f t="shared" si="1"/>
        <v>Piaba - (Leporinus piava)</v>
      </c>
    </row>
    <row r="170" spans="1:10" ht="12.75">
      <c r="A170" s="2" t="s">
        <v>679</v>
      </c>
      <c r="B170" s="2" t="s">
        <v>314</v>
      </c>
      <c r="C170" s="3" t="s">
        <v>386</v>
      </c>
      <c r="D170" s="8" t="s">
        <v>387</v>
      </c>
      <c r="E170" s="2" t="s">
        <v>341</v>
      </c>
      <c r="F170" s="2" t="s">
        <v>318</v>
      </c>
      <c r="G170" s="2" t="s">
        <v>11</v>
      </c>
      <c r="H170" s="9" t="str">
        <f t="shared" si="2"/>
        <v>(Piabina elongata)</v>
      </c>
      <c r="I170" s="2" t="s">
        <v>511</v>
      </c>
      <c r="J170" s="2" t="str">
        <f t="shared" si="1"/>
        <v>Piaba de preguiça - (Piabina elongata)</v>
      </c>
    </row>
    <row r="171" spans="1:10" ht="12.75">
      <c r="A171" s="2" t="s">
        <v>680</v>
      </c>
      <c r="B171" s="2" t="s">
        <v>314</v>
      </c>
      <c r="C171" s="5" t="s">
        <v>388</v>
      </c>
      <c r="D171" s="10" t="s">
        <v>389</v>
      </c>
      <c r="E171" s="2" t="s">
        <v>341</v>
      </c>
      <c r="F171" s="4" t="s">
        <v>318</v>
      </c>
      <c r="G171" s="2" t="s">
        <v>11</v>
      </c>
      <c r="H171" s="9" t="str">
        <f t="shared" si="2"/>
        <v>(Leporinus obtusidens)</v>
      </c>
      <c r="I171" s="2" t="s">
        <v>511</v>
      </c>
      <c r="J171" s="2" t="str">
        <f t="shared" si="1"/>
        <v>Piau - (Leporinus obtusidens)</v>
      </c>
    </row>
    <row r="172" spans="1:10" ht="12.75">
      <c r="A172" s="2" t="s">
        <v>681</v>
      </c>
      <c r="B172" s="2" t="s">
        <v>314</v>
      </c>
      <c r="C172" s="5" t="s">
        <v>390</v>
      </c>
      <c r="D172" s="10" t="s">
        <v>391</v>
      </c>
      <c r="E172" s="4" t="s">
        <v>341</v>
      </c>
      <c r="F172" s="4" t="s">
        <v>318</v>
      </c>
      <c r="G172" s="4" t="s">
        <v>11</v>
      </c>
      <c r="H172" s="9" t="str">
        <f t="shared" si="2"/>
        <v>(Schizodon fasciatus)</v>
      </c>
      <c r="I172" s="2" t="s">
        <v>511</v>
      </c>
      <c r="J172" s="2" t="str">
        <f t="shared" si="1"/>
        <v>Piau de Vara - (Schizodon fasciatus)</v>
      </c>
    </row>
    <row r="173" spans="1:10" ht="12.75">
      <c r="A173" s="2" t="s">
        <v>682</v>
      </c>
      <c r="B173" s="2" t="s">
        <v>314</v>
      </c>
      <c r="C173" s="5" t="s">
        <v>392</v>
      </c>
      <c r="D173" s="10" t="s">
        <v>393</v>
      </c>
      <c r="E173" s="4" t="s">
        <v>329</v>
      </c>
      <c r="F173" s="4" t="s">
        <v>25</v>
      </c>
      <c r="G173" s="4" t="s">
        <v>11</v>
      </c>
      <c r="H173" s="9" t="str">
        <f t="shared" si="2"/>
        <v>(Pseudoplatystoma corruscans)</v>
      </c>
      <c r="I173" s="2" t="s">
        <v>511</v>
      </c>
      <c r="J173" s="2" t="str">
        <f t="shared" si="1"/>
        <v>Pintado - (Pseudoplatystoma corruscans)</v>
      </c>
    </row>
    <row r="174" spans="1:10" ht="12.75">
      <c r="A174" s="2" t="s">
        <v>683</v>
      </c>
      <c r="B174" s="2" t="s">
        <v>314</v>
      </c>
      <c r="C174" s="3" t="s">
        <v>394</v>
      </c>
      <c r="D174" s="8" t="s">
        <v>395</v>
      </c>
      <c r="E174" s="2" t="s">
        <v>396</v>
      </c>
      <c r="F174" s="2" t="s">
        <v>318</v>
      </c>
      <c r="G174" s="2" t="s">
        <v>11</v>
      </c>
      <c r="H174" s="9" t="str">
        <f t="shared" si="2"/>
        <v>(Serrasalmus gouldingi)</v>
      </c>
      <c r="I174" s="2" t="s">
        <v>511</v>
      </c>
      <c r="J174" s="2" t="str">
        <f t="shared" si="1"/>
        <v>Piranha - (Serrasalmus gouldingi)</v>
      </c>
    </row>
    <row r="175" spans="1:10" ht="12.75">
      <c r="A175" s="2" t="s">
        <v>684</v>
      </c>
      <c r="B175" s="2" t="s">
        <v>314</v>
      </c>
      <c r="C175" s="5" t="s">
        <v>397</v>
      </c>
      <c r="D175" s="10" t="s">
        <v>398</v>
      </c>
      <c r="E175" s="4" t="s">
        <v>396</v>
      </c>
      <c r="F175" s="4" t="s">
        <v>318</v>
      </c>
      <c r="G175" s="2" t="s">
        <v>11</v>
      </c>
      <c r="H175" s="9" t="str">
        <f t="shared" si="2"/>
        <v>(Serrasalmus altispinis)</v>
      </c>
      <c r="I175" s="2" t="s">
        <v>511</v>
      </c>
      <c r="J175" s="2" t="str">
        <f t="shared" si="1"/>
        <v>Piranha Preta - (Serrasalmus altispinis)</v>
      </c>
    </row>
    <row r="176" spans="1:10" ht="12.75">
      <c r="A176" s="2" t="s">
        <v>685</v>
      </c>
      <c r="B176" s="2" t="s">
        <v>314</v>
      </c>
      <c r="C176" s="5" t="s">
        <v>399</v>
      </c>
      <c r="D176" s="10" t="s">
        <v>400</v>
      </c>
      <c r="E176" s="2" t="s">
        <v>341</v>
      </c>
      <c r="F176" s="4" t="s">
        <v>318</v>
      </c>
      <c r="G176" s="2" t="s">
        <v>11</v>
      </c>
      <c r="H176" s="9" t="str">
        <f t="shared" si="2"/>
        <v>(Pygocentrus nattereri)</v>
      </c>
      <c r="I176" s="2" t="s">
        <v>511</v>
      </c>
      <c r="J176" s="2" t="str">
        <f t="shared" si="1"/>
        <v>Piranha Vermelha - (Pygocentrus nattereri)</v>
      </c>
    </row>
    <row r="177" spans="1:10" ht="12.75">
      <c r="A177" s="2" t="s">
        <v>686</v>
      </c>
      <c r="B177" s="2" t="s">
        <v>314</v>
      </c>
      <c r="C177" s="5" t="s">
        <v>401</v>
      </c>
      <c r="D177" s="10" t="s">
        <v>402</v>
      </c>
      <c r="E177" s="2" t="s">
        <v>341</v>
      </c>
      <c r="F177" s="4" t="s">
        <v>25</v>
      </c>
      <c r="G177" s="2" t="s">
        <v>11</v>
      </c>
      <c r="H177" s="9" t="str">
        <f t="shared" si="2"/>
        <v>(Brycon orbignyanus)</v>
      </c>
      <c r="I177" s="2" t="s">
        <v>511</v>
      </c>
      <c r="J177" s="2" t="str">
        <f t="shared" si="1"/>
        <v>Pirapitinga - (Brycon orbignyanus)</v>
      </c>
    </row>
    <row r="178" spans="1:10" ht="12.75">
      <c r="A178" s="2" t="s">
        <v>687</v>
      </c>
      <c r="B178" s="2" t="s">
        <v>314</v>
      </c>
      <c r="C178" s="5" t="s">
        <v>403</v>
      </c>
      <c r="D178" s="10" t="s">
        <v>404</v>
      </c>
      <c r="E178" s="4" t="s">
        <v>378</v>
      </c>
      <c r="F178" s="4" t="s">
        <v>10</v>
      </c>
      <c r="G178" s="2" t="s">
        <v>42</v>
      </c>
      <c r="H178" s="9" t="str">
        <f t="shared" si="2"/>
        <v>(Xiphophorus maculatus)</v>
      </c>
      <c r="I178" s="2" t="s">
        <v>511</v>
      </c>
      <c r="J178" s="2" t="str">
        <f t="shared" si="1"/>
        <v>Platys - (Xiphophorus maculatus)</v>
      </c>
    </row>
    <row r="179" spans="1:10" ht="12.75">
      <c r="A179" s="2" t="s">
        <v>688</v>
      </c>
      <c r="B179" s="2" t="s">
        <v>314</v>
      </c>
      <c r="C179" s="5" t="s">
        <v>405</v>
      </c>
      <c r="D179" s="10" t="s">
        <v>406</v>
      </c>
      <c r="E179" s="4" t="s">
        <v>378</v>
      </c>
      <c r="F179" s="4" t="s">
        <v>318</v>
      </c>
      <c r="G179" s="2" t="s">
        <v>11</v>
      </c>
      <c r="H179" s="9" t="str">
        <f t="shared" si="2"/>
        <v>(Poecilia sp.)</v>
      </c>
      <c r="I179" s="2" t="s">
        <v>511</v>
      </c>
      <c r="J179" s="2" t="str">
        <f t="shared" si="1"/>
        <v>Poecilia - (Poecilia sp.)</v>
      </c>
    </row>
    <row r="180" spans="1:10" ht="12.75">
      <c r="A180" s="2" t="s">
        <v>689</v>
      </c>
      <c r="B180" s="2" t="s">
        <v>314</v>
      </c>
      <c r="C180" s="3" t="s">
        <v>407</v>
      </c>
      <c r="D180" s="8" t="s">
        <v>408</v>
      </c>
      <c r="E180" s="2" t="s">
        <v>409</v>
      </c>
      <c r="F180" s="2" t="s">
        <v>318</v>
      </c>
      <c r="G180" s="4" t="s">
        <v>11</v>
      </c>
      <c r="H180" s="9" t="str">
        <f t="shared" si="2"/>
        <v>(Electrophorus electricus)</v>
      </c>
      <c r="I180" s="2" t="s">
        <v>511</v>
      </c>
      <c r="J180" s="2" t="str">
        <f t="shared" si="1"/>
        <v>Poraquê - (Electrophorus electricus)</v>
      </c>
    </row>
    <row r="181" spans="1:10" ht="12.75">
      <c r="A181" s="2" t="s">
        <v>690</v>
      </c>
      <c r="B181" s="2" t="s">
        <v>314</v>
      </c>
      <c r="C181" s="5" t="s">
        <v>410</v>
      </c>
      <c r="D181" s="10" t="s">
        <v>411</v>
      </c>
      <c r="E181" s="2" t="s">
        <v>341</v>
      </c>
      <c r="F181" s="4" t="s">
        <v>234</v>
      </c>
      <c r="G181" s="2" t="s">
        <v>11</v>
      </c>
      <c r="H181" s="9" t="str">
        <f t="shared" si="2"/>
        <v>(Piaractus brachypomus)</v>
      </c>
      <c r="I181" s="2" t="s">
        <v>511</v>
      </c>
      <c r="J181" s="2" t="str">
        <f t="shared" si="1"/>
        <v>Tambacu - (Piaractus brachypomus)</v>
      </c>
    </row>
    <row r="182" spans="1:10" ht="12.75">
      <c r="A182" s="2" t="s">
        <v>691</v>
      </c>
      <c r="B182" s="2" t="s">
        <v>314</v>
      </c>
      <c r="C182" s="5" t="s">
        <v>412</v>
      </c>
      <c r="D182" s="10" t="s">
        <v>413</v>
      </c>
      <c r="E182" s="2" t="s">
        <v>341</v>
      </c>
      <c r="F182" s="4" t="s">
        <v>234</v>
      </c>
      <c r="G182" s="2" t="s">
        <v>11</v>
      </c>
      <c r="H182" s="9" t="str">
        <f t="shared" si="2"/>
        <v>(Colossoma macropomum)</v>
      </c>
      <c r="I182" s="2" t="s">
        <v>511</v>
      </c>
      <c r="J182" s="2" t="str">
        <f t="shared" si="1"/>
        <v>Tambaqui - (Colossoma macropomum)</v>
      </c>
    </row>
    <row r="183" spans="1:10" ht="12.75">
      <c r="A183" s="2" t="s">
        <v>692</v>
      </c>
      <c r="B183" s="2" t="s">
        <v>314</v>
      </c>
      <c r="C183" s="3" t="s">
        <v>414</v>
      </c>
      <c r="D183" s="8" t="s">
        <v>415</v>
      </c>
      <c r="E183" s="2" t="s">
        <v>341</v>
      </c>
      <c r="F183" s="2" t="s">
        <v>318</v>
      </c>
      <c r="G183" s="2" t="s">
        <v>11</v>
      </c>
      <c r="H183" s="9" t="str">
        <f t="shared" si="2"/>
        <v>(Hyphessobrycon heterorhabdus)</v>
      </c>
      <c r="I183" s="2" t="s">
        <v>511</v>
      </c>
      <c r="J183" s="2" t="str">
        <f t="shared" si="1"/>
        <v>Tetra de castanho - (Hyphessobrycon heterorhabdus)</v>
      </c>
    </row>
    <row r="184" spans="1:10" ht="12.75">
      <c r="A184" s="2" t="s">
        <v>693</v>
      </c>
      <c r="B184" s="2" t="s">
        <v>314</v>
      </c>
      <c r="C184" s="3" t="s">
        <v>416</v>
      </c>
      <c r="D184" s="8" t="s">
        <v>417</v>
      </c>
      <c r="E184" s="2" t="s">
        <v>341</v>
      </c>
      <c r="F184" s="2" t="s">
        <v>318</v>
      </c>
      <c r="G184" s="2" t="s">
        <v>11</v>
      </c>
      <c r="H184" s="9" t="str">
        <f t="shared" si="2"/>
        <v>(Moenkhausia sanctaefilomenae)</v>
      </c>
      <c r="I184" s="2" t="s">
        <v>511</v>
      </c>
      <c r="J184" s="2" t="str">
        <f t="shared" si="1"/>
        <v>Tetra Olho de Fogo - (Moenkhausia sanctaefilomenae)</v>
      </c>
    </row>
    <row r="185" spans="1:10" ht="12.75">
      <c r="A185" s="2" t="s">
        <v>694</v>
      </c>
      <c r="B185" s="2" t="s">
        <v>314</v>
      </c>
      <c r="C185" s="5" t="s">
        <v>418</v>
      </c>
      <c r="D185" s="10" t="s">
        <v>419</v>
      </c>
      <c r="E185" s="2" t="s">
        <v>317</v>
      </c>
      <c r="F185" s="4" t="s">
        <v>10</v>
      </c>
      <c r="G185" s="2" t="s">
        <v>42</v>
      </c>
      <c r="H185" s="9" t="str">
        <f t="shared" si="2"/>
        <v>(Oreochromis niloticus)</v>
      </c>
      <c r="I185" s="2" t="s">
        <v>511</v>
      </c>
      <c r="J185" s="2" t="str">
        <f t="shared" si="1"/>
        <v>Tilápia - (Oreochromis niloticus)</v>
      </c>
    </row>
    <row r="186" spans="1:10" ht="12.75">
      <c r="A186" s="2" t="s">
        <v>695</v>
      </c>
      <c r="B186" s="2" t="s">
        <v>314</v>
      </c>
      <c r="C186" s="5" t="s">
        <v>420</v>
      </c>
      <c r="D186" s="10" t="s">
        <v>421</v>
      </c>
      <c r="E186" s="4" t="s">
        <v>351</v>
      </c>
      <c r="F186" s="4" t="s">
        <v>318</v>
      </c>
      <c r="G186" s="2" t="s">
        <v>11</v>
      </c>
      <c r="H186" s="9" t="str">
        <f t="shared" si="2"/>
        <v>(Hoplias sp.)</v>
      </c>
      <c r="I186" s="2" t="s">
        <v>511</v>
      </c>
      <c r="J186" s="2" t="str">
        <f t="shared" si="1"/>
        <v>Traíra - (Hoplias sp.)</v>
      </c>
    </row>
    <row r="187" spans="1:10" ht="12.75">
      <c r="A187" s="2" t="s">
        <v>696</v>
      </c>
      <c r="B187" s="2" t="s">
        <v>314</v>
      </c>
      <c r="C187" s="5" t="s">
        <v>422</v>
      </c>
      <c r="D187" s="10" t="s">
        <v>423</v>
      </c>
      <c r="E187" s="2" t="s">
        <v>317</v>
      </c>
      <c r="F187" s="4" t="s">
        <v>25</v>
      </c>
      <c r="G187" s="2" t="s">
        <v>11</v>
      </c>
      <c r="H187" s="9" t="str">
        <f t="shared" si="2"/>
        <v>(Cichla temensis)</v>
      </c>
      <c r="I187" s="2" t="s">
        <v>511</v>
      </c>
      <c r="J187" s="2" t="str">
        <f t="shared" si="1"/>
        <v>Tucunaré - (Cichla temensis)</v>
      </c>
    </row>
    <row r="188" spans="1:10" ht="12.75" hidden="1">
      <c r="A188" s="2" t="s">
        <v>697</v>
      </c>
      <c r="B188" s="2" t="s">
        <v>424</v>
      </c>
      <c r="C188" s="3" t="s">
        <v>425</v>
      </c>
      <c r="D188" s="8" t="s">
        <v>426</v>
      </c>
      <c r="E188" s="2" t="s">
        <v>427</v>
      </c>
      <c r="F188" s="2" t="s">
        <v>234</v>
      </c>
      <c r="G188" s="2" t="s">
        <v>11</v>
      </c>
      <c r="H188" s="9" t="str">
        <f t="shared" si="2"/>
        <v>(Mauremys leprosa)</v>
      </c>
      <c r="I188" s="2" t="s">
        <v>511</v>
      </c>
      <c r="J188" s="2" t="str">
        <f t="shared" si="1"/>
        <v>Cágado comum - (Mauremys leprosa)</v>
      </c>
    </row>
    <row r="189" spans="1:10" ht="12.75" hidden="1">
      <c r="A189" s="2" t="s">
        <v>698</v>
      </c>
      <c r="B189" s="2" t="s">
        <v>424</v>
      </c>
      <c r="C189" s="3" t="s">
        <v>428</v>
      </c>
      <c r="D189" s="8" t="s">
        <v>429</v>
      </c>
      <c r="E189" s="2" t="s">
        <v>427</v>
      </c>
      <c r="F189" s="2" t="s">
        <v>25</v>
      </c>
      <c r="G189" s="2" t="s">
        <v>11</v>
      </c>
      <c r="H189" s="9" t="str">
        <f t="shared" si="2"/>
        <v>(Phrynops geoffroanus)</v>
      </c>
      <c r="I189" s="2" t="s">
        <v>511</v>
      </c>
      <c r="J189" s="2" t="str">
        <f t="shared" si="1"/>
        <v>Cágado de barbicha - (Phrynops geoffroanus)</v>
      </c>
    </row>
    <row r="190" spans="1:10" ht="12.75" hidden="1">
      <c r="A190" s="2" t="s">
        <v>699</v>
      </c>
      <c r="B190" s="2" t="s">
        <v>424</v>
      </c>
      <c r="C190" s="3" t="s">
        <v>430</v>
      </c>
      <c r="D190" s="8" t="s">
        <v>431</v>
      </c>
      <c r="E190" s="2" t="s">
        <v>432</v>
      </c>
      <c r="F190" s="2" t="s">
        <v>10</v>
      </c>
      <c r="G190" s="2" t="s">
        <v>11</v>
      </c>
      <c r="H190" s="9" t="str">
        <f t="shared" si="2"/>
        <v>(Cnemidophorus ocellifer)</v>
      </c>
      <c r="I190" s="2" t="s">
        <v>511</v>
      </c>
      <c r="J190" s="2" t="str">
        <f t="shared" si="1"/>
        <v>Calango - (Cnemidophorus ocellifer)</v>
      </c>
    </row>
    <row r="191" spans="1:10" ht="12.75" hidden="1">
      <c r="A191" s="2" t="s">
        <v>700</v>
      </c>
      <c r="B191" s="2" t="s">
        <v>424</v>
      </c>
      <c r="C191" s="3" t="s">
        <v>433</v>
      </c>
      <c r="D191" s="8" t="s">
        <v>434</v>
      </c>
      <c r="E191" s="2" t="s">
        <v>432</v>
      </c>
      <c r="F191" s="2" t="s">
        <v>25</v>
      </c>
      <c r="G191" s="2" t="s">
        <v>11</v>
      </c>
      <c r="H191" s="9" t="str">
        <f t="shared" si="2"/>
        <v>(Crotalus durissus)</v>
      </c>
      <c r="I191" s="2" t="s">
        <v>511</v>
      </c>
      <c r="J191" s="2" t="str">
        <f t="shared" si="1"/>
        <v>Cascavel - (Crotalus durissus)</v>
      </c>
    </row>
    <row r="192" spans="1:10" ht="12.75" hidden="1">
      <c r="A192" s="2" t="s">
        <v>701</v>
      </c>
      <c r="B192" s="2" t="s">
        <v>424</v>
      </c>
      <c r="C192" s="3" t="s">
        <v>435</v>
      </c>
      <c r="D192" s="8" t="s">
        <v>436</v>
      </c>
      <c r="E192" s="2" t="s">
        <v>436</v>
      </c>
      <c r="F192" s="2" t="s">
        <v>10</v>
      </c>
      <c r="G192" s="2" t="s">
        <v>11</v>
      </c>
      <c r="H192" s="9" t="str">
        <f t="shared" si="2"/>
        <v>(Gymnophiona)</v>
      </c>
      <c r="I192" s="2" t="s">
        <v>511</v>
      </c>
      <c r="J192" s="2" t="str">
        <f t="shared" si="1"/>
        <v>Cobra cega (Cecília) - (Gymnophiona)</v>
      </c>
    </row>
    <row r="193" spans="1:10" ht="12.75" hidden="1">
      <c r="A193" s="2" t="s">
        <v>702</v>
      </c>
      <c r="B193" s="2" t="s">
        <v>424</v>
      </c>
      <c r="C193" s="3" t="s">
        <v>437</v>
      </c>
      <c r="D193" s="8" t="s">
        <v>438</v>
      </c>
      <c r="E193" s="2" t="s">
        <v>432</v>
      </c>
      <c r="F193" s="2" t="s">
        <v>10</v>
      </c>
      <c r="G193" s="2" t="s">
        <v>11</v>
      </c>
      <c r="H193" s="9" t="str">
        <f t="shared" si="2"/>
        <v>(Chironius bicarinatus)</v>
      </c>
      <c r="I193" s="2" t="s">
        <v>511</v>
      </c>
      <c r="J193" s="2" t="str">
        <f t="shared" si="1"/>
        <v>Cobra cipó - (Chironius bicarinatus)</v>
      </c>
    </row>
    <row r="194" spans="1:10" ht="12.75" hidden="1">
      <c r="A194" s="2" t="s">
        <v>703</v>
      </c>
      <c r="B194" s="2" t="s">
        <v>424</v>
      </c>
      <c r="C194" s="3" t="s">
        <v>439</v>
      </c>
      <c r="D194" s="8" t="s">
        <v>440</v>
      </c>
      <c r="E194" s="2" t="s">
        <v>432</v>
      </c>
      <c r="F194" s="2" t="s">
        <v>10</v>
      </c>
      <c r="G194" s="2" t="s">
        <v>11</v>
      </c>
      <c r="H194" s="9" t="str">
        <f t="shared" si="2"/>
        <v>(Anilis scytale)</v>
      </c>
      <c r="I194" s="2" t="s">
        <v>511</v>
      </c>
      <c r="J194" s="2" t="str">
        <f t="shared" si="1"/>
        <v>Cobra Coral Falsa - (Anilis scytale)</v>
      </c>
    </row>
    <row r="195" spans="1:10" ht="12.75" hidden="1">
      <c r="A195" s="2" t="s">
        <v>704</v>
      </c>
      <c r="B195" s="2" t="s">
        <v>424</v>
      </c>
      <c r="C195" s="3" t="s">
        <v>439</v>
      </c>
      <c r="D195" s="8" t="s">
        <v>441</v>
      </c>
      <c r="E195" s="2" t="s">
        <v>432</v>
      </c>
      <c r="F195" s="2" t="s">
        <v>10</v>
      </c>
      <c r="G195" s="2" t="s">
        <v>11</v>
      </c>
      <c r="H195" s="9" t="str">
        <f t="shared" si="2"/>
        <v>(Oxyrhopus guibei)</v>
      </c>
      <c r="I195" s="2" t="s">
        <v>511</v>
      </c>
      <c r="J195" s="2" t="str">
        <f t="shared" si="1"/>
        <v>Cobra Coral Falsa - (Oxyrhopus guibei)</v>
      </c>
    </row>
    <row r="196" spans="1:10" ht="12.75" hidden="1">
      <c r="A196" s="2" t="s">
        <v>705</v>
      </c>
      <c r="B196" s="2" t="s">
        <v>424</v>
      </c>
      <c r="C196" s="3" t="s">
        <v>439</v>
      </c>
      <c r="D196" s="8" t="s">
        <v>442</v>
      </c>
      <c r="E196" s="2" t="s">
        <v>432</v>
      </c>
      <c r="F196" s="2" t="s">
        <v>10</v>
      </c>
      <c r="G196" s="2" t="s">
        <v>11</v>
      </c>
      <c r="H196" s="9" t="str">
        <f t="shared" si="2"/>
        <v>(Erythrolamprus aesculapii)</v>
      </c>
      <c r="I196" s="2" t="s">
        <v>511</v>
      </c>
      <c r="J196" s="2" t="str">
        <f t="shared" si="1"/>
        <v>Cobra Coral Falsa - (Erythrolamprus aesculapii)</v>
      </c>
    </row>
    <row r="197" spans="1:10" ht="12.75" hidden="1">
      <c r="A197" s="2" t="s">
        <v>706</v>
      </c>
      <c r="B197" s="2" t="s">
        <v>424</v>
      </c>
      <c r="C197" s="3" t="s">
        <v>443</v>
      </c>
      <c r="D197" s="8" t="s">
        <v>444</v>
      </c>
      <c r="E197" s="2" t="s">
        <v>432</v>
      </c>
      <c r="F197" s="2" t="s">
        <v>25</v>
      </c>
      <c r="G197" s="2" t="s">
        <v>11</v>
      </c>
      <c r="H197" s="9" t="str">
        <f t="shared" si="2"/>
        <v>(Micrurus lemniscatus)</v>
      </c>
      <c r="I197" s="2" t="s">
        <v>511</v>
      </c>
      <c r="J197" s="2" t="str">
        <f t="shared" si="1"/>
        <v>Cobra Coral verdadeira - (Micrurus lemniscatus)</v>
      </c>
    </row>
    <row r="198" spans="1:10" ht="12.75" hidden="1">
      <c r="A198" s="2" t="s">
        <v>707</v>
      </c>
      <c r="B198" s="2" t="s">
        <v>424</v>
      </c>
      <c r="C198" s="3" t="s">
        <v>445</v>
      </c>
      <c r="D198" s="8" t="s">
        <v>446</v>
      </c>
      <c r="E198" s="2" t="s">
        <v>432</v>
      </c>
      <c r="F198" s="2" t="s">
        <v>10</v>
      </c>
      <c r="G198" s="2" t="s">
        <v>11</v>
      </c>
      <c r="H198" s="9" t="str">
        <f t="shared" si="2"/>
        <v>(Thamnodynastes pallidus)</v>
      </c>
      <c r="I198" s="2" t="s">
        <v>511</v>
      </c>
      <c r="J198" s="2" t="str">
        <f t="shared" si="1"/>
        <v>Cobra corre campo - (Thamnodynastes pallidus)</v>
      </c>
    </row>
    <row r="199" spans="1:10" ht="12.75" hidden="1">
      <c r="A199" s="2" t="s">
        <v>708</v>
      </c>
      <c r="B199" s="2" t="s">
        <v>424</v>
      </c>
      <c r="C199" s="3" t="s">
        <v>447</v>
      </c>
      <c r="D199" s="8" t="s">
        <v>448</v>
      </c>
      <c r="E199" s="2" t="s">
        <v>432</v>
      </c>
      <c r="F199" s="2" t="s">
        <v>10</v>
      </c>
      <c r="G199" s="2" t="s">
        <v>11</v>
      </c>
      <c r="H199" s="9" t="str">
        <f t="shared" si="2"/>
        <v>(Liophis typhlus)</v>
      </c>
      <c r="I199" s="2" t="s">
        <v>511</v>
      </c>
      <c r="J199" s="2" t="str">
        <f t="shared" si="1"/>
        <v>Cobra d'água - (Liophis typhlus)</v>
      </c>
    </row>
    <row r="200" spans="1:10" ht="12.75" hidden="1">
      <c r="A200" s="2" t="s">
        <v>709</v>
      </c>
      <c r="B200" s="2" t="s">
        <v>424</v>
      </c>
      <c r="C200" s="3" t="s">
        <v>449</v>
      </c>
      <c r="D200" s="8" t="s">
        <v>450</v>
      </c>
      <c r="E200" s="2" t="s">
        <v>432</v>
      </c>
      <c r="F200" s="2" t="s">
        <v>10</v>
      </c>
      <c r="G200" s="2" t="s">
        <v>11</v>
      </c>
      <c r="H200" s="9" t="str">
        <f t="shared" si="2"/>
        <v>(Sibynomorphus mikanii)</v>
      </c>
      <c r="I200" s="2" t="s">
        <v>511</v>
      </c>
      <c r="J200" s="2" t="str">
        <f t="shared" si="1"/>
        <v>Cobra dormideira - (Sibynomorphus mikanii)</v>
      </c>
    </row>
    <row r="201" spans="1:10" ht="12.75" hidden="1">
      <c r="A201" s="2" t="s">
        <v>710</v>
      </c>
      <c r="B201" s="2" t="s">
        <v>424</v>
      </c>
      <c r="C201" s="3" t="s">
        <v>451</v>
      </c>
      <c r="D201" s="8" t="s">
        <v>452</v>
      </c>
      <c r="E201" s="2" t="s">
        <v>432</v>
      </c>
      <c r="F201" s="2" t="s">
        <v>10</v>
      </c>
      <c r="G201" s="2" t="s">
        <v>11</v>
      </c>
      <c r="H201" s="9" t="str">
        <f t="shared" si="2"/>
        <v>(Amphisbaenia)</v>
      </c>
      <c r="I201" s="2" t="s">
        <v>511</v>
      </c>
      <c r="J201" s="2" t="str">
        <f t="shared" si="1"/>
        <v>Cobra duas cabeças - (Amphisbaenia)</v>
      </c>
    </row>
    <row r="202" spans="1:10" ht="12.75" hidden="1">
      <c r="A202" s="2" t="s">
        <v>711</v>
      </c>
      <c r="B202" s="2" t="s">
        <v>424</v>
      </c>
      <c r="C202" s="3" t="s">
        <v>453</v>
      </c>
      <c r="D202" s="8" t="s">
        <v>454</v>
      </c>
      <c r="E202" s="2" t="s">
        <v>432</v>
      </c>
      <c r="F202" s="2" t="s">
        <v>10</v>
      </c>
      <c r="G202" s="2" t="s">
        <v>455</v>
      </c>
      <c r="H202" s="9" t="str">
        <f t="shared" si="2"/>
        <v>(Corallus caninus)</v>
      </c>
      <c r="I202" s="2" t="s">
        <v>511</v>
      </c>
      <c r="J202" s="2" t="str">
        <f t="shared" si="1"/>
        <v>Cobra papagaio (exótica) - (Corallus caninus)</v>
      </c>
    </row>
    <row r="203" spans="1:10" ht="12.75" hidden="1">
      <c r="A203" s="2" t="s">
        <v>712</v>
      </c>
      <c r="B203" s="2" t="s">
        <v>424</v>
      </c>
      <c r="C203" s="3" t="s">
        <v>456</v>
      </c>
      <c r="D203" s="8" t="s">
        <v>448</v>
      </c>
      <c r="E203" s="2" t="s">
        <v>432</v>
      </c>
      <c r="F203" s="2" t="s">
        <v>10</v>
      </c>
      <c r="G203" s="2" t="s">
        <v>11</v>
      </c>
      <c r="H203" s="9" t="str">
        <f t="shared" si="2"/>
        <v>(Liophis typhlus)</v>
      </c>
      <c r="I203" s="2" t="s">
        <v>511</v>
      </c>
      <c r="J203" s="2" t="str">
        <f t="shared" si="1"/>
        <v>Cobra verde - (Liophis typhlus)</v>
      </c>
    </row>
    <row r="204" spans="1:10" ht="12.75" hidden="1">
      <c r="A204" s="2" t="s">
        <v>713</v>
      </c>
      <c r="B204" s="2" t="s">
        <v>424</v>
      </c>
      <c r="C204" s="3" t="s">
        <v>457</v>
      </c>
      <c r="D204" s="8" t="s">
        <v>458</v>
      </c>
      <c r="E204" s="2" t="s">
        <v>432</v>
      </c>
      <c r="F204" s="2" t="s">
        <v>10</v>
      </c>
      <c r="G204" s="2" t="s">
        <v>455</v>
      </c>
      <c r="H204" s="9" t="str">
        <f t="shared" si="2"/>
        <v>(Pantherophis guttatus)</v>
      </c>
      <c r="I204" s="2" t="s">
        <v>511</v>
      </c>
      <c r="J204" s="2" t="str">
        <f t="shared" si="1"/>
        <v>Corn snake (exótica) - (Pantherophis guttatus)</v>
      </c>
    </row>
    <row r="205" spans="1:10" ht="12.75" hidden="1">
      <c r="A205" s="2" t="s">
        <v>714</v>
      </c>
      <c r="B205" s="2" t="s">
        <v>424</v>
      </c>
      <c r="C205" s="3" t="s">
        <v>459</v>
      </c>
      <c r="D205" s="8" t="s">
        <v>460</v>
      </c>
      <c r="E205" s="2" t="s">
        <v>432</v>
      </c>
      <c r="F205" s="2" t="s">
        <v>10</v>
      </c>
      <c r="G205" s="2" t="s">
        <v>455</v>
      </c>
      <c r="H205" s="9" t="str">
        <f t="shared" si="2"/>
        <v>(Eublepharis macularius)</v>
      </c>
      <c r="I205" s="2" t="s">
        <v>511</v>
      </c>
      <c r="J205" s="2" t="str">
        <f t="shared" si="1"/>
        <v>Geco leopardo (exótico) - (Eublepharis macularius)</v>
      </c>
    </row>
    <row r="206" spans="1:10" ht="12.75" hidden="1">
      <c r="A206" s="2" t="s">
        <v>715</v>
      </c>
      <c r="B206" s="2" t="s">
        <v>424</v>
      </c>
      <c r="C206" s="3" t="s">
        <v>461</v>
      </c>
      <c r="D206" s="8" t="s">
        <v>462</v>
      </c>
      <c r="E206" s="2" t="s">
        <v>432</v>
      </c>
      <c r="F206" s="2" t="s">
        <v>10</v>
      </c>
      <c r="G206" s="2" t="s">
        <v>11</v>
      </c>
      <c r="H206" s="9" t="str">
        <f t="shared" si="2"/>
        <v>(Iguana iguana)</v>
      </c>
      <c r="I206" s="2" t="s">
        <v>511</v>
      </c>
      <c r="J206" s="2" t="str">
        <f t="shared" si="1"/>
        <v>Iguana - (Iguana iguana)</v>
      </c>
    </row>
    <row r="207" spans="1:10" ht="12.75" hidden="1">
      <c r="A207" s="2" t="s">
        <v>716</v>
      </c>
      <c r="B207" s="2" t="s">
        <v>424</v>
      </c>
      <c r="C207" s="3" t="s">
        <v>463</v>
      </c>
      <c r="D207" s="8" t="s">
        <v>464</v>
      </c>
      <c r="E207" s="2" t="s">
        <v>427</v>
      </c>
      <c r="F207" s="2" t="s">
        <v>25</v>
      </c>
      <c r="G207" s="2" t="s">
        <v>11</v>
      </c>
      <c r="H207" s="9" t="str">
        <f t="shared" si="2"/>
        <v>(Chelonoidis carbonaria)</v>
      </c>
      <c r="I207" s="2" t="s">
        <v>511</v>
      </c>
      <c r="J207" s="2" t="str">
        <f t="shared" si="1"/>
        <v>Jabuti - (Chelonoidis carbonaria)</v>
      </c>
    </row>
    <row r="208" spans="1:10" ht="12.75" hidden="1">
      <c r="A208" s="2" t="s">
        <v>717</v>
      </c>
      <c r="B208" s="2" t="s">
        <v>424</v>
      </c>
      <c r="C208" s="3" t="s">
        <v>465</v>
      </c>
      <c r="D208" s="8" t="s">
        <v>466</v>
      </c>
      <c r="E208" s="2" t="s">
        <v>467</v>
      </c>
      <c r="F208" s="2" t="s">
        <v>25</v>
      </c>
      <c r="G208" s="2" t="s">
        <v>11</v>
      </c>
      <c r="H208" s="9" t="str">
        <f t="shared" si="2"/>
        <v>(Melanosuchus niger)</v>
      </c>
      <c r="I208" s="2" t="s">
        <v>511</v>
      </c>
      <c r="J208" s="2" t="str">
        <f t="shared" si="1"/>
        <v>Jacaré acu - (Melanosuchus niger)</v>
      </c>
    </row>
    <row r="209" spans="1:10" ht="12.75" hidden="1">
      <c r="A209" s="2" t="s">
        <v>718</v>
      </c>
      <c r="B209" s="2" t="s">
        <v>424</v>
      </c>
      <c r="C209" s="3" t="s">
        <v>468</v>
      </c>
      <c r="D209" s="8" t="s">
        <v>469</v>
      </c>
      <c r="E209" s="2" t="s">
        <v>467</v>
      </c>
      <c r="F209" s="2" t="s">
        <v>10</v>
      </c>
      <c r="G209" s="2" t="s">
        <v>11</v>
      </c>
      <c r="H209" s="9" t="str">
        <f t="shared" si="2"/>
        <v>(Caiman latirostris)</v>
      </c>
      <c r="I209" s="2" t="s">
        <v>511</v>
      </c>
      <c r="J209" s="2" t="str">
        <f t="shared" si="1"/>
        <v>Jacaré do papo amarelo - (Caiman latirostris)</v>
      </c>
    </row>
    <row r="210" spans="1:10" ht="12.75" hidden="1">
      <c r="A210" s="2" t="s">
        <v>719</v>
      </c>
      <c r="B210" s="2" t="s">
        <v>424</v>
      </c>
      <c r="C210" s="3" t="s">
        <v>470</v>
      </c>
      <c r="D210" s="8" t="s">
        <v>471</v>
      </c>
      <c r="E210" s="2" t="s">
        <v>467</v>
      </c>
      <c r="F210" s="2" t="s">
        <v>10</v>
      </c>
      <c r="G210" s="2" t="s">
        <v>11</v>
      </c>
      <c r="H210" s="9" t="str">
        <f t="shared" si="2"/>
        <v>(Caiman crocodilus)</v>
      </c>
      <c r="I210" s="2" t="s">
        <v>511</v>
      </c>
      <c r="J210" s="2" t="str">
        <f t="shared" si="1"/>
        <v>Jacarétinga - (Caiman crocodilus)</v>
      </c>
    </row>
    <row r="211" spans="1:10" ht="12.75" hidden="1">
      <c r="A211" s="2" t="s">
        <v>720</v>
      </c>
      <c r="B211" s="2" t="s">
        <v>424</v>
      </c>
      <c r="C211" s="3" t="s">
        <v>472</v>
      </c>
      <c r="D211" s="8" t="s">
        <v>473</v>
      </c>
      <c r="E211" s="2" t="s">
        <v>432</v>
      </c>
      <c r="F211" s="2" t="s">
        <v>25</v>
      </c>
      <c r="G211" s="2" t="s">
        <v>11</v>
      </c>
      <c r="H211" s="9" t="str">
        <f t="shared" si="2"/>
        <v>(Bothrops neuwiedi)</v>
      </c>
      <c r="I211" s="2" t="s">
        <v>511</v>
      </c>
      <c r="J211" s="2" t="str">
        <f t="shared" si="1"/>
        <v>Jararaca cruzeira - (Bothrops neuwiedi)</v>
      </c>
    </row>
    <row r="212" spans="1:10" ht="12.75" hidden="1">
      <c r="A212" s="2" t="s">
        <v>721</v>
      </c>
      <c r="B212" s="2" t="s">
        <v>424</v>
      </c>
      <c r="C212" s="3" t="s">
        <v>474</v>
      </c>
      <c r="D212" s="8" t="s">
        <v>475</v>
      </c>
      <c r="E212" s="2" t="s">
        <v>432</v>
      </c>
      <c r="F212" s="2" t="s">
        <v>25</v>
      </c>
      <c r="G212" s="2" t="s">
        <v>11</v>
      </c>
      <c r="H212" s="9" t="str">
        <f t="shared" si="2"/>
        <v>(Bothrops jararaca)</v>
      </c>
      <c r="I212" s="2" t="s">
        <v>511</v>
      </c>
      <c r="J212" s="2" t="str">
        <f t="shared" si="1"/>
        <v>Jararaca verdadeira - (Bothrops jararaca)</v>
      </c>
    </row>
    <row r="213" spans="1:10" ht="12.75" hidden="1">
      <c r="A213" s="2" t="s">
        <v>722</v>
      </c>
      <c r="B213" s="2" t="s">
        <v>424</v>
      </c>
      <c r="C213" s="3" t="s">
        <v>476</v>
      </c>
      <c r="D213" s="8" t="s">
        <v>477</v>
      </c>
      <c r="E213" s="2" t="s">
        <v>432</v>
      </c>
      <c r="F213" s="2" t="s">
        <v>25</v>
      </c>
      <c r="G213" s="2" t="s">
        <v>11</v>
      </c>
      <c r="H213" s="9" t="str">
        <f t="shared" si="2"/>
        <v>(Bothrops jararacussu)</v>
      </c>
      <c r="I213" s="2" t="s">
        <v>511</v>
      </c>
      <c r="J213" s="2" t="str">
        <f t="shared" si="1"/>
        <v>Jararacucu - (Bothrops jararacussu)</v>
      </c>
    </row>
    <row r="214" spans="1:10" ht="12.75" hidden="1">
      <c r="A214" s="2" t="s">
        <v>723</v>
      </c>
      <c r="B214" s="2" t="s">
        <v>424</v>
      </c>
      <c r="C214" s="3" t="s">
        <v>478</v>
      </c>
      <c r="D214" s="8" t="s">
        <v>479</v>
      </c>
      <c r="E214" s="2" t="s">
        <v>432</v>
      </c>
      <c r="F214" s="2" t="s">
        <v>10</v>
      </c>
      <c r="G214" s="2" t="s">
        <v>11</v>
      </c>
      <c r="H214" s="9" t="str">
        <f t="shared" si="2"/>
        <v>(Boa constrictor)</v>
      </c>
      <c r="I214" s="2" t="s">
        <v>511</v>
      </c>
      <c r="J214" s="2" t="str">
        <f t="shared" si="1"/>
        <v>Jiboia - (Boa constrictor)</v>
      </c>
    </row>
    <row r="215" spans="1:10" ht="12.75" hidden="1">
      <c r="A215" s="2" t="s">
        <v>724</v>
      </c>
      <c r="B215" s="2" t="s">
        <v>424</v>
      </c>
      <c r="C215" s="3" t="s">
        <v>480</v>
      </c>
      <c r="D215" s="8" t="s">
        <v>481</v>
      </c>
      <c r="E215" s="2" t="s">
        <v>432</v>
      </c>
      <c r="F215" s="2" t="s">
        <v>10</v>
      </c>
      <c r="G215" s="2" t="s">
        <v>11</v>
      </c>
      <c r="H215" s="9" t="str">
        <f t="shared" si="2"/>
        <v>(Epicrates cenchria cenchria)</v>
      </c>
      <c r="I215" s="2" t="s">
        <v>511</v>
      </c>
      <c r="J215" s="2" t="str">
        <f t="shared" si="1"/>
        <v>Jiboia arco-íris - (Epicrates cenchria cenchria)</v>
      </c>
    </row>
    <row r="216" spans="1:10" ht="12.75" hidden="1">
      <c r="A216" s="2" t="s">
        <v>725</v>
      </c>
      <c r="B216" s="2" t="s">
        <v>424</v>
      </c>
      <c r="C216" s="3" t="s">
        <v>482</v>
      </c>
      <c r="D216" s="8" t="s">
        <v>483</v>
      </c>
      <c r="E216" s="2" t="s">
        <v>432</v>
      </c>
      <c r="F216" s="2" t="s">
        <v>10</v>
      </c>
      <c r="G216" s="2" t="s">
        <v>455</v>
      </c>
      <c r="H216" s="9" t="str">
        <f t="shared" si="2"/>
        <v>(Lampropeltis getula nigritus)</v>
      </c>
      <c r="I216" s="2" t="s">
        <v>511</v>
      </c>
      <c r="J216" s="2" t="str">
        <f t="shared" si="1"/>
        <v>King snake nigritos (exótica) - (Lampropeltis getula nigritus)</v>
      </c>
    </row>
    <row r="217" spans="1:10" ht="12.75" hidden="1">
      <c r="A217" s="2" t="s">
        <v>726</v>
      </c>
      <c r="B217" s="2" t="s">
        <v>424</v>
      </c>
      <c r="C217" s="3" t="s">
        <v>484</v>
      </c>
      <c r="D217" s="8" t="s">
        <v>485</v>
      </c>
      <c r="E217" s="2" t="s">
        <v>486</v>
      </c>
      <c r="F217" s="2" t="s">
        <v>487</v>
      </c>
      <c r="G217" s="2" t="s">
        <v>11</v>
      </c>
      <c r="H217" s="9" t="str">
        <f t="shared" si="2"/>
        <v>(Rhinodrilus alatus)</v>
      </c>
      <c r="I217" s="2" t="s">
        <v>511</v>
      </c>
      <c r="J217" s="2" t="str">
        <f t="shared" si="1"/>
        <v>Minhocucu - (Rhinodrilus alatus)</v>
      </c>
    </row>
    <row r="218" spans="1:10" ht="12.75" hidden="1">
      <c r="A218" s="2" t="s">
        <v>727</v>
      </c>
      <c r="B218" s="2" t="s">
        <v>424</v>
      </c>
      <c r="C218" s="3" t="s">
        <v>488</v>
      </c>
      <c r="D218" s="8" t="s">
        <v>489</v>
      </c>
      <c r="E218" s="2" t="s">
        <v>432</v>
      </c>
      <c r="F218" s="2" t="s">
        <v>10</v>
      </c>
      <c r="G218" s="2" t="s">
        <v>11</v>
      </c>
      <c r="H218" s="9" t="str">
        <f t="shared" si="2"/>
        <v>(Pseudoboa clelia)</v>
      </c>
      <c r="I218" s="2" t="s">
        <v>511</v>
      </c>
      <c r="J218" s="2" t="str">
        <f t="shared" si="1"/>
        <v>Mucurana - (Pseudoboa clelia)</v>
      </c>
    </row>
    <row r="219" spans="1:10" ht="12.75" hidden="1">
      <c r="A219" s="2" t="s">
        <v>728</v>
      </c>
      <c r="B219" s="2" t="s">
        <v>424</v>
      </c>
      <c r="C219" s="3" t="s">
        <v>490</v>
      </c>
      <c r="D219" s="8" t="s">
        <v>491</v>
      </c>
      <c r="E219" s="2" t="s">
        <v>432</v>
      </c>
      <c r="F219" s="2" t="s">
        <v>10</v>
      </c>
      <c r="G219" s="2" t="s">
        <v>455</v>
      </c>
      <c r="H219" s="9" t="str">
        <f t="shared" si="2"/>
        <v>(Naja Kaouthia)</v>
      </c>
      <c r="I219" s="2" t="s">
        <v>511</v>
      </c>
      <c r="J219" s="2" t="str">
        <f t="shared" si="1"/>
        <v>Naja (exótica) - (Naja Kaouthia)</v>
      </c>
    </row>
    <row r="220" spans="1:10" ht="12.75" hidden="1">
      <c r="A220" s="2" t="s">
        <v>729</v>
      </c>
      <c r="B220" s="2" t="s">
        <v>424</v>
      </c>
      <c r="C220" s="3" t="s">
        <v>492</v>
      </c>
      <c r="D220" s="8" t="s">
        <v>493</v>
      </c>
      <c r="E220" s="2" t="s">
        <v>432</v>
      </c>
      <c r="F220" s="2" t="s">
        <v>10</v>
      </c>
      <c r="G220" s="2" t="s">
        <v>11</v>
      </c>
      <c r="H220" s="9" t="str">
        <f t="shared" si="2"/>
        <v>(Corallus batesii)</v>
      </c>
      <c r="I220" s="2" t="s">
        <v>511</v>
      </c>
      <c r="J220" s="2" t="str">
        <f t="shared" si="1"/>
        <v>Periquitamboia - (Corallus batesii)</v>
      </c>
    </row>
    <row r="221" spans="1:10" ht="12.75" hidden="1">
      <c r="A221" s="2" t="s">
        <v>730</v>
      </c>
      <c r="B221" s="2" t="s">
        <v>424</v>
      </c>
      <c r="C221" s="3" t="s">
        <v>494</v>
      </c>
      <c r="D221" s="8" t="s">
        <v>495</v>
      </c>
      <c r="E221" s="2" t="s">
        <v>427</v>
      </c>
      <c r="F221" s="2" t="s">
        <v>10</v>
      </c>
      <c r="G221" s="2" t="s">
        <v>455</v>
      </c>
      <c r="H221" s="9" t="str">
        <f t="shared" si="2"/>
        <v>(Python modulus)</v>
      </c>
      <c r="I221" s="2" t="s">
        <v>511</v>
      </c>
      <c r="J221" s="2" t="str">
        <f t="shared" si="1"/>
        <v>Python (exótica) - (Python modulus)</v>
      </c>
    </row>
    <row r="222" spans="1:10" ht="12.75" hidden="1">
      <c r="A222" s="2" t="s">
        <v>731</v>
      </c>
      <c r="B222" s="2" t="s">
        <v>424</v>
      </c>
      <c r="C222" s="3" t="s">
        <v>496</v>
      </c>
      <c r="D222" s="8" t="s">
        <v>497</v>
      </c>
      <c r="E222" s="2" t="s">
        <v>432</v>
      </c>
      <c r="F222" s="2" t="s">
        <v>10</v>
      </c>
      <c r="G222" s="2" t="s">
        <v>455</v>
      </c>
      <c r="H222" s="9" t="str">
        <f t="shared" si="2"/>
        <v>(Boa constrictor imperator)</v>
      </c>
      <c r="I222" s="2" t="s">
        <v>511</v>
      </c>
      <c r="J222" s="2" t="str">
        <f t="shared" si="1"/>
        <v>Serpente boa imperator (exótica) - (Boa constrictor imperator)</v>
      </c>
    </row>
    <row r="223" spans="1:10" ht="12.75" hidden="1">
      <c r="A223" s="2" t="s">
        <v>732</v>
      </c>
      <c r="B223" s="2" t="s">
        <v>424</v>
      </c>
      <c r="C223" s="3" t="s">
        <v>498</v>
      </c>
      <c r="D223" s="8" t="s">
        <v>499</v>
      </c>
      <c r="E223" s="2" t="s">
        <v>432</v>
      </c>
      <c r="F223" s="2" t="s">
        <v>10</v>
      </c>
      <c r="G223" s="2" t="s">
        <v>11</v>
      </c>
      <c r="H223" s="9" t="str">
        <f t="shared" si="2"/>
        <v>(Xenodon merremii)</v>
      </c>
      <c r="I223" s="2" t="s">
        <v>511</v>
      </c>
      <c r="J223" s="2" t="str">
        <f t="shared" si="1"/>
        <v>Serpente boipeba - (Xenodon merremii)</v>
      </c>
    </row>
    <row r="224" spans="1:10" ht="12.75" hidden="1">
      <c r="A224" s="2" t="s">
        <v>733</v>
      </c>
      <c r="B224" s="2" t="s">
        <v>424</v>
      </c>
      <c r="C224" s="3" t="s">
        <v>500</v>
      </c>
      <c r="D224" s="8" t="s">
        <v>501</v>
      </c>
      <c r="E224" s="2" t="s">
        <v>432</v>
      </c>
      <c r="F224" s="2" t="s">
        <v>10</v>
      </c>
      <c r="G224" s="2" t="s">
        <v>11</v>
      </c>
      <c r="H224" s="9" t="str">
        <f t="shared" si="2"/>
        <v>(Spilotes pullatus)</v>
      </c>
      <c r="I224" s="2" t="s">
        <v>511</v>
      </c>
      <c r="J224" s="2" t="str">
        <f t="shared" si="1"/>
        <v>Serpente caninana - (Spilotes pullatus)</v>
      </c>
    </row>
    <row r="225" spans="1:10" ht="12.75" hidden="1">
      <c r="A225" s="2" t="s">
        <v>734</v>
      </c>
      <c r="B225" s="2" t="s">
        <v>424</v>
      </c>
      <c r="C225" s="3" t="s">
        <v>502</v>
      </c>
      <c r="D225" s="8" t="s">
        <v>503</v>
      </c>
      <c r="E225" s="2" t="s">
        <v>427</v>
      </c>
      <c r="F225" s="2" t="s">
        <v>25</v>
      </c>
      <c r="G225" s="2" t="s">
        <v>11</v>
      </c>
      <c r="H225" s="9" t="str">
        <f t="shared" si="2"/>
        <v>(Caretta caretta)</v>
      </c>
      <c r="I225" s="2" t="s">
        <v>511</v>
      </c>
      <c r="J225" s="2" t="str">
        <f t="shared" si="1"/>
        <v>Tartaruga - (Caretta caretta)</v>
      </c>
    </row>
    <row r="226" spans="1:10" ht="12.75" hidden="1">
      <c r="A226" s="2" t="s">
        <v>735</v>
      </c>
      <c r="B226" s="2" t="s">
        <v>424</v>
      </c>
      <c r="C226" s="3" t="s">
        <v>504</v>
      </c>
      <c r="D226" s="8" t="s">
        <v>505</v>
      </c>
      <c r="E226" s="2" t="s">
        <v>432</v>
      </c>
      <c r="F226" s="2" t="s">
        <v>25</v>
      </c>
      <c r="G226" s="2" t="s">
        <v>11</v>
      </c>
      <c r="H226" s="9" t="str">
        <f t="shared" si="2"/>
        <v>(Trachemys dorbigni)</v>
      </c>
      <c r="I226" s="2" t="s">
        <v>511</v>
      </c>
      <c r="J226" s="2" t="str">
        <f t="shared" si="1"/>
        <v>Tartaruga tigre d'água - (Trachemys dorbigni)</v>
      </c>
    </row>
    <row r="227" spans="1:10" ht="12.75" hidden="1">
      <c r="A227" s="2" t="s">
        <v>736</v>
      </c>
      <c r="B227" s="2" t="s">
        <v>424</v>
      </c>
      <c r="C227" s="3" t="s">
        <v>506</v>
      </c>
      <c r="D227" s="8" t="s">
        <v>507</v>
      </c>
      <c r="E227" s="2" t="s">
        <v>432</v>
      </c>
      <c r="F227" s="2" t="s">
        <v>10</v>
      </c>
      <c r="G227" s="2" t="s">
        <v>11</v>
      </c>
      <c r="H227" s="9" t="str">
        <f t="shared" si="2"/>
        <v>(Tupinambis merianae)</v>
      </c>
      <c r="I227" s="2" t="s">
        <v>511</v>
      </c>
      <c r="J227" s="2" t="str">
        <f t="shared" si="1"/>
        <v>Teiú - (Tupinambis merianae)</v>
      </c>
    </row>
  </sheetData>
  <autoFilter ref="B1:B227" xr:uid="{00000000-0009-0000-0000-000001000000}">
    <filterColumn colId="0">
      <filters>
        <filter val="PEIXE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Fauna</vt:lpstr>
      <vt:lpstr>Cópia de Fauna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Paulo Gonçalves Maciel</cp:lastModifiedBy>
  <dcterms:modified xsi:type="dcterms:W3CDTF">2025-12-08T02:30:47Z</dcterms:modified>
</cp:coreProperties>
</file>